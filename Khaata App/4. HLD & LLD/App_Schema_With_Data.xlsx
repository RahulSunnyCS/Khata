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eevan.j\Documents\Obsidian Vault\Splitwise Alternative\"/>
    </mc:Choice>
  </mc:AlternateContent>
  <xr:revisionPtr revIDLastSave="0" documentId="13_ncr:1_{C095AF1C-395C-4FC1-8726-3CC766C8F426}" xr6:coauthVersionLast="47" xr6:coauthVersionMax="47" xr10:uidLastSave="{00000000-0000-0000-0000-000000000000}"/>
  <bookViews>
    <workbookView xWindow="-120" yWindow="-120" windowWidth="38640" windowHeight="15720" tabRatio="500" xr2:uid="{00000000-000D-0000-FFFF-FFFF00000000}"/>
  </bookViews>
  <sheets>
    <sheet name="README" sheetId="1" r:id="rId1"/>
    <sheet name="users" sheetId="2" r:id="rId2"/>
    <sheet name="devices" sheetId="3" r:id="rId3"/>
    <sheet name="friendships" sheetId="4" r:id="rId4"/>
    <sheet name="groups" sheetId="5" r:id="rId5"/>
    <sheet name="group_members" sheetId="6" r:id="rId6"/>
    <sheet name="categories" sheetId="7" r:id="rId7"/>
    <sheet name="expenses" sheetId="8" r:id="rId8"/>
    <sheet name="expense_payers" sheetId="9" r:id="rId9"/>
    <sheet name="expense_splits" sheetId="10" r:id="rId10"/>
    <sheet name="expense_items" sheetId="11" r:id="rId11"/>
    <sheet name="expense_item_assignments" sheetId="12" r:id="rId12"/>
    <sheet name="ledger_entries" sheetId="13" r:id="rId13"/>
    <sheet name="settlements" sheetId="14" r:id="rId14"/>
    <sheet name="receipts" sheetId="15" r:id="rId15"/>
    <sheet name="chat_messages" sheetId="16" r:id="rId16"/>
    <sheet name="comments" sheetId="17" r:id="rId17"/>
    <sheet name="notifications" sheetId="18" r:id="rId18"/>
    <sheet name="audit_log" sheetId="19" r:id="rId19"/>
    <sheet name="fx_rates" sheetId="20" r:id="rId20"/>
    <sheet name="recurring_expenses" sheetId="21" r:id="rId21"/>
    <sheet name="subscriptions" sheetId="22" r:id="rId22"/>
    <sheet name="ghost_invites" sheetId="23" r:id="rId23"/>
    <sheet name="balance_summary" sheetId="24" r:id="rId24"/>
    <sheet name="workflow_example" sheetId="25" r:id="rId2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" i="24" l="1"/>
  <c r="C10" i="24"/>
  <c r="E10" i="24" s="1"/>
  <c r="F10" i="24" s="1"/>
  <c r="D9" i="24"/>
  <c r="C9" i="24"/>
  <c r="E9" i="24" s="1"/>
  <c r="F9" i="24" s="1"/>
  <c r="D8" i="24"/>
  <c r="C8" i="24"/>
  <c r="E8" i="24" s="1"/>
  <c r="F8" i="24" s="1"/>
  <c r="D7" i="24"/>
  <c r="C7" i="24"/>
  <c r="E7" i="24" s="1"/>
  <c r="F7" i="24" s="1"/>
  <c r="D6" i="24"/>
  <c r="C6" i="24"/>
  <c r="E6" i="24" s="1"/>
  <c r="F6" i="24" s="1"/>
  <c r="D5" i="24"/>
  <c r="D12" i="24" s="1"/>
  <c r="C5" i="24"/>
  <c r="E5" i="24" s="1"/>
  <c r="F6" i="21"/>
  <c r="F5" i="21"/>
  <c r="F12" i="7"/>
  <c r="F11" i="7"/>
  <c r="F10" i="7"/>
  <c r="F9" i="7"/>
  <c r="F8" i="7"/>
  <c r="F7" i="7"/>
  <c r="F6" i="7"/>
  <c r="F5" i="7"/>
  <c r="E7" i="5"/>
  <c r="E6" i="5"/>
  <c r="E5" i="5"/>
  <c r="J10" i="2"/>
  <c r="J9" i="2"/>
  <c r="J8" i="2"/>
  <c r="J7" i="2"/>
  <c r="J6" i="2"/>
  <c r="J5" i="2"/>
  <c r="E12" i="24" l="1"/>
  <c r="F5" i="24"/>
  <c r="C12" i="24"/>
</calcChain>
</file>

<file path=xl/sharedStrings.xml><?xml version="1.0" encoding="utf-8"?>
<sst xmlns="http://schemas.openxmlformats.org/spreadsheetml/2006/main" count="1003" uniqueCount="595">
  <si>
    <t>Splitwise Alternative — DB Schema (with dummy data)</t>
  </si>
  <si>
    <t>Purpose</t>
  </si>
  <si>
    <t>A walkthrough of every table in the schema with realistic dummy data so you can see how the entities connect.</t>
  </si>
  <si>
    <t>DB Engine</t>
  </si>
  <si>
    <t>PostgreSQL 16 (recommended). All money columns use NUMERIC(14,2). All ids are UUIDs (shortened here for readability, e.g. u001).</t>
  </si>
  <si>
    <t>Source of truth</t>
  </si>
  <si>
    <t>ledger_entries. Balances are NEVER computed from expenses directly. Every expense + settlement writes balanced ledger entries.</t>
  </si>
  <si>
    <t>Soft delete</t>
  </si>
  <si>
    <t>Most tables use deleted_at TIMESTAMPTZ instead of hard delete. Audit log keeps the truth.</t>
  </si>
  <si>
    <t>Idempotency</t>
  </si>
  <si>
    <t>settlements has idempotency_key UNIQUE — prevents double-debit on payment webhook retries.</t>
  </si>
  <si>
    <t>READING ORDER</t>
  </si>
  <si>
    <t>The sheets are arranged in the order you should read them to understand the model.</t>
  </si>
  <si>
    <t>1. users</t>
  </si>
  <si>
    <t>People. Includes ghost users (placeholder for not-yet-signed-up friends).</t>
  </si>
  <si>
    <t>2. devices</t>
  </si>
  <si>
    <t>Push tokens per user.</t>
  </si>
  <si>
    <t>3. friendships</t>
  </si>
  <si>
    <t>1-on-1 relationships outside groups.</t>
  </si>
  <si>
    <t>4. groups</t>
  </si>
  <si>
    <t>Trip / Home / Couple etc.</t>
  </si>
  <si>
    <t>5. group_members</t>
  </si>
  <si>
    <t>M:N between users and groups.</t>
  </si>
  <si>
    <t>6. categories</t>
  </si>
  <si>
    <t>Food, Rent, Transport… plus user-custom categories.</t>
  </si>
  <si>
    <t>7. expenses</t>
  </si>
  <si>
    <t>The main entity. One row per expense.</t>
  </si>
  <si>
    <t>8. expense_payers</t>
  </si>
  <si>
    <t>Who actually paid. Multiple rows allowed (multi-payer).</t>
  </si>
  <si>
    <t>9. expense_splits</t>
  </si>
  <si>
    <t>Who owes what share. Sum across rows = expense.amount.</t>
  </si>
  <si>
    <t>10. expense_items</t>
  </si>
  <si>
    <t>Line items if itemized split is used.</t>
  </si>
  <si>
    <t>11. expense_item_assignments</t>
  </si>
  <si>
    <t>Who claims which item.</t>
  </si>
  <si>
    <t>12. ledger_entries</t>
  </si>
  <si>
    <t>★ THE KEY TABLE. Double-entry: every expense/settlement writes balanced entries.</t>
  </si>
  <si>
    <t>13. settlements</t>
  </si>
  <si>
    <t>Cash, UPI, etc. Status pending → success → writes ledger entries.</t>
  </si>
  <si>
    <t>14. receipts</t>
  </si>
  <si>
    <t>Photo + OCR result (jsonb).</t>
  </si>
  <si>
    <t>15. chat_messages</t>
  </si>
  <si>
    <t>In-app group chat.</t>
  </si>
  <si>
    <t>16. comments</t>
  </si>
  <si>
    <t>Threaded comments on an expense.</t>
  </si>
  <si>
    <t>17. notifications</t>
  </si>
  <si>
    <t>Push/email/in-app outbox.</t>
  </si>
  <si>
    <t>18. audit_log</t>
  </si>
  <si>
    <t>Immutable history of every mutation.</t>
  </si>
  <si>
    <t>19. fx_rates</t>
  </si>
  <si>
    <t>Daily snapshot per currency pair.</t>
  </si>
  <si>
    <t>20. recurring_expenses</t>
  </si>
  <si>
    <t>Templates that auto-create expenses on a schedule.</t>
  </si>
  <si>
    <t>21. subscriptions</t>
  </si>
  <si>
    <t>Pro tier subscriptions.</t>
  </si>
  <si>
    <t>22. ghost_invites</t>
  </si>
  <si>
    <t>Tracks invite links for ghost members.</t>
  </si>
  <si>
    <t>23. ★ balance_summary</t>
  </si>
  <si>
    <t>COMPUTED via formulas from ledger_entries — proves the model works.</t>
  </si>
  <si>
    <t>24. ★ workflow_example</t>
  </si>
  <si>
    <t>Step-by-step walk through what happens when an expense is added &amp; settled.</t>
  </si>
  <si>
    <t>Color coding in this file</t>
  </si>
  <si>
    <t>Header (dark blue)</t>
  </si>
  <si>
    <t>Column names — exactly what would be in the SQL DDL.</t>
  </si>
  <si>
    <t>Notes (italic grey)</t>
  </si>
  <si>
    <t>Extra context for that table — purpose, indexes, gotchas.</t>
  </si>
  <si>
    <t>★</t>
  </si>
  <si>
    <t>Sheets that demonstrate the model in action (formulas + walkthrough).</t>
  </si>
  <si>
    <t>users</t>
  </si>
  <si>
    <t>People in the system. Ghost users (is_ghost=true) are placeholders so you can add expenses for friends who haven't signed up yet. They get converted when they accept the invite.</t>
  </si>
  <si>
    <t>id</t>
  </si>
  <si>
    <t>phone</t>
  </si>
  <si>
    <t>email</t>
  </si>
  <si>
    <t>name</t>
  </si>
  <si>
    <t>photo_url</t>
  </si>
  <si>
    <t>default_currency</t>
  </si>
  <si>
    <t>vpa</t>
  </si>
  <si>
    <t>language</t>
  </si>
  <si>
    <t>kyc_tier</t>
  </si>
  <si>
    <t>is_ghost</t>
  </si>
  <si>
    <t>created_at</t>
  </si>
  <si>
    <t>updated_at</t>
  </si>
  <si>
    <t>deleted_at</t>
  </si>
  <si>
    <t>u001</t>
  </si>
  <si>
    <t>+919812340001</t>
  </si>
  <si>
    <t>aarav@example.com</t>
  </si>
  <si>
    <t>Aarav Sharma</t>
  </si>
  <si>
    <t>s3://photos/u001.jpg</t>
  </si>
  <si>
    <t>INR</t>
  </si>
  <si>
    <t>aarav@oksbi</t>
  </si>
  <si>
    <t>en</t>
  </si>
  <si>
    <t>2026-01-15 10:30:00</t>
  </si>
  <si>
    <t>2026-04-20 12:00:00</t>
  </si>
  <si>
    <t>u002</t>
  </si>
  <si>
    <t>+919812340002</t>
  </si>
  <si>
    <t>priya@example.com</t>
  </si>
  <si>
    <t>Priya Verma</t>
  </si>
  <si>
    <t>s3://photos/u002.jpg</t>
  </si>
  <si>
    <t>priya@okhdfcbank</t>
  </si>
  <si>
    <t>hi</t>
  </si>
  <si>
    <t>2026-01-20 14:15:00</t>
  </si>
  <si>
    <t>2026-04-22 09:00:00</t>
  </si>
  <si>
    <t>u003</t>
  </si>
  <si>
    <t>+919812340003</t>
  </si>
  <si>
    <t>rohan@example.com</t>
  </si>
  <si>
    <t>Rohan Mehta</t>
  </si>
  <si>
    <t>rohan@okicici</t>
  </si>
  <si>
    <t>2026-02-01 18:45:00</t>
  </si>
  <si>
    <t>2026-04-25 20:30:00</t>
  </si>
  <si>
    <t>u004</t>
  </si>
  <si>
    <t>+919812340004</t>
  </si>
  <si>
    <t>neha@example.com</t>
  </si>
  <si>
    <t>Neha Kapoor</t>
  </si>
  <si>
    <t>s3://photos/u004.jpg</t>
  </si>
  <si>
    <t>neha@oksbi</t>
  </si>
  <si>
    <t>2026-02-10 11:20:00</t>
  </si>
  <si>
    <t>2026-04-26 16:00:00</t>
  </si>
  <si>
    <t>u005</t>
  </si>
  <si>
    <t>+919812340005</t>
  </si>
  <si>
    <t>karan@example.com</t>
  </si>
  <si>
    <t>Karan Iyer</t>
  </si>
  <si>
    <t>s3://photos/u005.jpg</t>
  </si>
  <si>
    <t>karan.iyer@okaxis</t>
  </si>
  <si>
    <t>ta</t>
  </si>
  <si>
    <t>2026-02-15 09:00:00</t>
  </si>
  <si>
    <t>2026-04-27 14:30:00</t>
  </si>
  <si>
    <t>u006</t>
  </si>
  <si>
    <t>Vikram (ghost)</t>
  </si>
  <si>
    <t>2026-04-10 19:00:00</t>
  </si>
  <si>
    <t>devices</t>
  </si>
  <si>
    <t>Push notification tokens per user per device. A user can have multiple devices.</t>
  </si>
  <si>
    <t>user_id</t>
  </si>
  <si>
    <t>fcm_token</t>
  </si>
  <si>
    <t>platform</t>
  </si>
  <si>
    <t>app_version</t>
  </si>
  <si>
    <t>last_active_at</t>
  </si>
  <si>
    <t>d001</t>
  </si>
  <si>
    <t>fcm_AAA111...</t>
  </si>
  <si>
    <t>android</t>
  </si>
  <si>
    <t>1.0.0</t>
  </si>
  <si>
    <t>2026-04-28 09:30:00</t>
  </si>
  <si>
    <t>d002</t>
  </si>
  <si>
    <t>apns_AAA222...</t>
  </si>
  <si>
    <t>ios</t>
  </si>
  <si>
    <t>2026-04-28 08:00:00</t>
  </si>
  <si>
    <t>d003</t>
  </si>
  <si>
    <t>fcm_BBB333...</t>
  </si>
  <si>
    <t>2026-04-28 10:15:00</t>
  </si>
  <si>
    <t>d004</t>
  </si>
  <si>
    <t>fcm_CCC444...</t>
  </si>
  <si>
    <t>2026-04-27 22:00:00</t>
  </si>
  <si>
    <t>d005</t>
  </si>
  <si>
    <t>apns_DDD555...</t>
  </si>
  <si>
    <t>2026-04-28 07:45:00</t>
  </si>
  <si>
    <t>d006</t>
  </si>
  <si>
    <t>fcm_EEE666...</t>
  </si>
  <si>
    <t>2026-04-28 11:00:00</t>
  </si>
  <si>
    <t>friendships</t>
  </si>
  <si>
    <t>1-on-1 friendships outside groups. Convention: user_a_id &lt; user_b_id (alphabetical) to avoid duplicate pairs.</t>
  </si>
  <si>
    <t>user_a_id</t>
  </si>
  <si>
    <t>user_b_id</t>
  </si>
  <si>
    <t>2026-01-21 10:00:00</t>
  </si>
  <si>
    <t>2026-02-01 19:00:00</t>
  </si>
  <si>
    <t>2026-02-10 12:00:00</t>
  </si>
  <si>
    <t>2026-02-15 10:00:00</t>
  </si>
  <si>
    <t>2026-02-12 15:00:00</t>
  </si>
  <si>
    <t>2026-02-16 11:00:00</t>
  </si>
  <si>
    <t>groups</t>
  </si>
  <si>
    <t>Trip / Home / Couple / Wedding / Custom. simplify_debts=false on couples (they prefer raw who-paid-what).</t>
  </si>
  <si>
    <t>type</t>
  </si>
  <si>
    <t>simplify_debts</t>
  </si>
  <si>
    <t>archived_at</t>
  </si>
  <si>
    <t>created_by</t>
  </si>
  <si>
    <t>g001</t>
  </si>
  <si>
    <t>Bangalore Flat</t>
  </si>
  <si>
    <t>home</t>
  </si>
  <si>
    <t>2026-02-01 19:30:00</t>
  </si>
  <si>
    <t>2026-04-01 10:00:00</t>
  </si>
  <si>
    <t>g002</t>
  </si>
  <si>
    <t>Goa Trip Apr 2026</t>
  </si>
  <si>
    <t>trip</t>
  </si>
  <si>
    <t>2026-04-05 20:00:00</t>
  </si>
  <si>
    <t>2026-04-25 18:00:00</t>
  </si>
  <si>
    <t>g003</t>
  </si>
  <si>
    <t>Aarav &amp; Priya</t>
  </si>
  <si>
    <t>couple</t>
  </si>
  <si>
    <t>2026-01-22 11:00:00</t>
  </si>
  <si>
    <t>2026-04-26 14:00:00</t>
  </si>
  <si>
    <t>group_members</t>
  </si>
  <si>
    <t>M:N table linking users to groups. Includes ghost users (u006 in Goa trip).</t>
  </si>
  <si>
    <t>group_id</t>
  </si>
  <si>
    <t>role</t>
  </si>
  <si>
    <t>joined_at</t>
  </si>
  <si>
    <t>left_at</t>
  </si>
  <si>
    <t>owner</t>
  </si>
  <si>
    <t>member</t>
  </si>
  <si>
    <t>2026-02-01 19:35:00</t>
  </si>
  <si>
    <t>2026-02-01 19:40:00</t>
  </si>
  <si>
    <t>2026-04-05 20:05:00</t>
  </si>
  <si>
    <t>2026-04-05 20:06:00</t>
  </si>
  <si>
    <t>2026-04-05 20:07:00</t>
  </si>
  <si>
    <t>2026-01-22 11:01:00</t>
  </si>
  <si>
    <t>categories</t>
  </si>
  <si>
    <t>30+ system categories shipped (is_system=true). Users can create custom categories on free tier (is_system=false, user_id set).</t>
  </si>
  <si>
    <t>icon</t>
  </si>
  <si>
    <t>color</t>
  </si>
  <si>
    <t>parent_id</t>
  </si>
  <si>
    <t>is_system</t>
  </si>
  <si>
    <t>c001</t>
  </si>
  <si>
    <t>Food &amp; Drink</t>
  </si>
  <si>
    <t>🍔</t>
  </si>
  <si>
    <t>#FF6B35</t>
  </si>
  <si>
    <t>c002</t>
  </si>
  <si>
    <t>Rent</t>
  </si>
  <si>
    <t>🏠</t>
  </si>
  <si>
    <t>#4A90E2</t>
  </si>
  <si>
    <t>c003</t>
  </si>
  <si>
    <t>Transportation</t>
  </si>
  <si>
    <t>🚗</t>
  </si>
  <si>
    <t>#7ED321</t>
  </si>
  <si>
    <t>c004</t>
  </si>
  <si>
    <t>Entertainment</t>
  </si>
  <si>
    <t>🎬</t>
  </si>
  <si>
    <t>#BD10E0</t>
  </si>
  <si>
    <t>c005</t>
  </si>
  <si>
    <t>Utilities</t>
  </si>
  <si>
    <t>💡</t>
  </si>
  <si>
    <t>#F5A623</t>
  </si>
  <si>
    <t>c006</t>
  </si>
  <si>
    <t>Restaurants</t>
  </si>
  <si>
    <t>🍽️</t>
  </si>
  <si>
    <t>c007</t>
  </si>
  <si>
    <t>Flights</t>
  </si>
  <si>
    <t>✈️</t>
  </si>
  <si>
    <t>c008</t>
  </si>
  <si>
    <t>Diwali Pooling</t>
  </si>
  <si>
    <t>🪔</t>
  </si>
  <si>
    <t>#E94B3C</t>
  </si>
  <si>
    <t>expenses</t>
  </si>
  <si>
    <t>Main expense table. group_id NULL for 1-on-1 non-group expenses. fx_rate_to_base snapshotted at entry time so historical balances stay correct even if rates change.</t>
  </si>
  <si>
    <t>description</t>
  </si>
  <si>
    <t>amount</t>
  </si>
  <si>
    <t>currency</t>
  </si>
  <si>
    <t>fx_rate_to_base</t>
  </si>
  <si>
    <t>spent_at</t>
  </si>
  <si>
    <t>category_id</t>
  </si>
  <si>
    <t>notes</t>
  </si>
  <si>
    <t>receipt_id</t>
  </si>
  <si>
    <t>e001</t>
  </si>
  <si>
    <t>April Rent</t>
  </si>
  <si>
    <t>2026-04-01</t>
  </si>
  <si>
    <t>Includes maintenance</t>
  </si>
  <si>
    <t>2026-04-01 09:30:00</t>
  </si>
  <si>
    <t>e002</t>
  </si>
  <si>
    <t>Beachside Dinner</t>
  </si>
  <si>
    <t>2026-04-15</t>
  </si>
  <si>
    <t>Curlies shack — split by item</t>
  </si>
  <si>
    <t>r001</t>
  </si>
  <si>
    <t>2026-04-15 22:30:00</t>
  </si>
  <si>
    <t>2026-04-15 22:35:00</t>
  </si>
  <si>
    <t>e003</t>
  </si>
  <si>
    <t>Flight tickets BLR-GOI</t>
  </si>
  <si>
    <t>2026-04-12</t>
  </si>
  <si>
    <t>Indigo, return tickets — 2 payers</t>
  </si>
  <si>
    <t>2026-04-12 14:00:00</t>
  </si>
  <si>
    <t>e004</t>
  </si>
  <si>
    <t>Coffee at Third Wave</t>
  </si>
  <si>
    <t>2026-04-26</t>
  </si>
  <si>
    <t>expense_payers</t>
  </si>
  <si>
    <t>Who actually paid. Sum per expense_id MUST equal expenses.amount. e003 demonstrates multi-payer (Aarav paid 15k, Neha paid 5k, total 20k).</t>
  </si>
  <si>
    <t>expense_id</t>
  </si>
  <si>
    <t>amount_paid</t>
  </si>
  <si>
    <t>expense_splits</t>
  </si>
  <si>
    <t>Who owes what share. Sum per expense_id = expenses.amount. share_value is the raw input (e.g. 25 for percent, 2 for shares). For equal/item splits it's 1.0/null.</t>
  </si>
  <si>
    <t>share_amount</t>
  </si>
  <si>
    <t>split_type</t>
  </si>
  <si>
    <t>share_value</t>
  </si>
  <si>
    <t>equal</t>
  </si>
  <si>
    <t>item</t>
  </si>
  <si>
    <t>expense_items</t>
  </si>
  <si>
    <t>Optional — only used when split_type=item. Total of items = expense amount (1600 + 1200 + 1400 + 300 = 4500 ✓).</t>
  </si>
  <si>
    <t>qty</t>
  </si>
  <si>
    <t>i001</t>
  </si>
  <si>
    <t>Fish curry</t>
  </si>
  <si>
    <t>i002</t>
  </si>
  <si>
    <t>Prawns masala</t>
  </si>
  <si>
    <t>i003</t>
  </si>
  <si>
    <t>Beer (pint)</t>
  </si>
  <si>
    <t>i004</t>
  </si>
  <si>
    <t>Tax &amp; service</t>
  </si>
  <si>
    <t>expense_item_assignments</t>
  </si>
  <si>
    <t>Who claims which item (and how much of it). qty_share allows partial claims. Final share_amount in expense_splits is computed from this.</t>
  </si>
  <si>
    <t>item_id</t>
  </si>
  <si>
    <t>qty_share</t>
  </si>
  <si>
    <t>ledger_entries</t>
  </si>
  <si>
    <t>★ THE SOURCE OF TRUTH. Append-only, never updated. debit_user_id is owed amount FROM credit_user_id. Settlement le010 reverses the original debt (Aarav→Rohan) by writing the opposite direction (Rohan→Aarav).</t>
  </si>
  <si>
    <t>txn_id</t>
  </si>
  <si>
    <t>source_type</t>
  </si>
  <si>
    <t>source_id</t>
  </si>
  <si>
    <t>debit_user_id</t>
  </si>
  <si>
    <t>credit_user_id</t>
  </si>
  <si>
    <t>le001</t>
  </si>
  <si>
    <t>txn001</t>
  </si>
  <si>
    <t>expense</t>
  </si>
  <si>
    <t>le002</t>
  </si>
  <si>
    <t>le003</t>
  </si>
  <si>
    <t>txn002</t>
  </si>
  <si>
    <t>le004</t>
  </si>
  <si>
    <t>le005</t>
  </si>
  <si>
    <t>le006</t>
  </si>
  <si>
    <t>le007</t>
  </si>
  <si>
    <t>txn003</t>
  </si>
  <si>
    <t>le008</t>
  </si>
  <si>
    <t>le009</t>
  </si>
  <si>
    <t>txn004</t>
  </si>
  <si>
    <t>le010</t>
  </si>
  <si>
    <t>txn005</t>
  </si>
  <si>
    <t>settlement</t>
  </si>
  <si>
    <t>s001</t>
  </si>
  <si>
    <t>2026-04-27 11:00:00</t>
  </si>
  <si>
    <t>settlements</t>
  </si>
  <si>
    <t>Status flow: pending → success (writes ledger entries) OR failed/reversed. idempotency_key UNIQUE prevents double-processing on webhook retries. s002 is pending — no ledger entries written until success.</t>
  </si>
  <si>
    <t>payer_id</t>
  </si>
  <si>
    <t>payee_id</t>
  </si>
  <si>
    <t>method</t>
  </si>
  <si>
    <t>pa_provider</t>
  </si>
  <si>
    <t>pa_txn_id</t>
  </si>
  <si>
    <t>idempotency_key</t>
  </si>
  <si>
    <t>status</t>
  </si>
  <si>
    <t>initiated_at</t>
  </si>
  <si>
    <t>settled_at</t>
  </si>
  <si>
    <t>metadata</t>
  </si>
  <si>
    <t>upi_deeplink</t>
  </si>
  <si>
    <t>UPI/426712345678</t>
  </si>
  <si>
    <t>idem_8a3f9b2c</t>
  </si>
  <si>
    <t>success</t>
  </si>
  <si>
    <t>2026-04-27 10:55:00</t>
  </si>
  <si>
    <t>{"upi_app":"gpay"}</t>
  </si>
  <si>
    <t>s002</t>
  </si>
  <si>
    <t>upi_collect</t>
  </si>
  <si>
    <t>razorpay</t>
  </si>
  <si>
    <t>rzp_ord_NX23kf</t>
  </si>
  <si>
    <t>idem_7b2e1d4a</t>
  </si>
  <si>
    <t>pending</t>
  </si>
  <si>
    <t>2026-04-28 09:00:00</t>
  </si>
  <si>
    <t>{"collect_request_id":"crq_ABC123"}</t>
  </si>
  <si>
    <t>receipts</t>
  </si>
  <si>
    <t>Receipt photo + OCR result stored in ocr_data jsonb. expense_id can be NULL if uploaded before the expense is saved (then linked on save).</t>
  </si>
  <si>
    <t>s3_key</t>
  </si>
  <si>
    <t>mime_type</t>
  </si>
  <si>
    <t>size_bytes</t>
  </si>
  <si>
    <t>ocr_status</t>
  </si>
  <si>
    <t>ocr_provider</t>
  </si>
  <si>
    <t>ocr_data</t>
  </si>
  <si>
    <t>receipts/2026/04/r001.jpg</t>
  </si>
  <si>
    <t>image/jpeg</t>
  </si>
  <si>
    <t>done</t>
  </si>
  <si>
    <t>mindee</t>
  </si>
  <si>
    <t>{"vendor":"Curlies Shack","total":4500,"tax":300,"items":[{"name":"Fish curry","qty":2,"price":800},{"name":"Prawns masala","qty":1,"price":1200},{"name":"Beer","qty":4,"price":350}]}</t>
  </si>
  <si>
    <t>2026-04-15 22:28:00</t>
  </si>
  <si>
    <t>chat_messages</t>
  </si>
  <si>
    <t>In-app chat. expense_ref_id anchors a message to a specific expense (the "reply to expense" thread). reactions stored as jsonb {emoji: [user_ids]}.</t>
  </si>
  <si>
    <t>sender_id</t>
  </si>
  <si>
    <t>body</t>
  </si>
  <si>
    <t>reply_to_id</t>
  </si>
  <si>
    <t>attachment_url</t>
  </si>
  <si>
    <t>expense_ref_id</t>
  </si>
  <si>
    <t>reactions</t>
  </si>
  <si>
    <t>edited_at</t>
  </si>
  <si>
    <t>m001</t>
  </si>
  <si>
    <t>Paid the April rent guys</t>
  </si>
  <si>
    <t>{"👍":["u003","u005"]}</t>
  </si>
  <si>
    <t>2026-04-01 09:31:00</t>
  </si>
  <si>
    <t>m002</t>
  </si>
  <si>
    <t>Settling now via GPay 🙏</t>
  </si>
  <si>
    <t>{}</t>
  </si>
  <si>
    <t>2026-04-01 09:35:00</t>
  </si>
  <si>
    <t>m003</t>
  </si>
  <si>
    <t>Dinner was incredible 🐟</t>
  </si>
  <si>
    <t>{"❤️":["u001","u003","u004"]}</t>
  </si>
  <si>
    <t>2026-04-15 22:40:00</t>
  </si>
  <si>
    <t>m004</t>
  </si>
  <si>
    <t>Ghost member Vikram still owes 900 😅</t>
  </si>
  <si>
    <t>2026-04-16 10:00:00</t>
  </si>
  <si>
    <t>comments</t>
  </si>
  <si>
    <t>Threaded comments on expenses (or settlements). Distinct from chat_messages — these are anchored, focused discussions.</t>
  </si>
  <si>
    <t>target_type</t>
  </si>
  <si>
    <t>target_id</t>
  </si>
  <si>
    <t>cm001</t>
  </si>
  <si>
    <t>Why did this cost so much? Peak season?</t>
  </si>
  <si>
    <t>2026-04-12 15:00:00</t>
  </si>
  <si>
    <t>cm002</t>
  </si>
  <si>
    <t>Yeah, last-minute booking unfortunately</t>
  </si>
  <si>
    <t>2026-04-12 15:05:00</t>
  </si>
  <si>
    <t>notifications</t>
  </si>
  <si>
    <t>Outbox for push/email/in-app. payload is jsonb with all data needed to render the notification (no joins needed at send time).</t>
  </si>
  <si>
    <t>payload</t>
  </si>
  <si>
    <t>read_at</t>
  </si>
  <si>
    <t>n001</t>
  </si>
  <si>
    <t>new_expense</t>
  </si>
  <si>
    <t>{"expense_id":"e001","group":"Bangalore Flat","amount":15000,"description":"April Rent"}</t>
  </si>
  <si>
    <t>2026-04-01 09:30:30</t>
  </si>
  <si>
    <t>n002</t>
  </si>
  <si>
    <t>n003</t>
  </si>
  <si>
    <t>settlement_received</t>
  </si>
  <si>
    <t>{"settlement_id":"s001","payer":"Rohan","amount":15000}</t>
  </si>
  <si>
    <t>2026-04-27 11:01:00</t>
  </si>
  <si>
    <t>2026-04-27 11:00:30</t>
  </si>
  <si>
    <t>n004</t>
  </si>
  <si>
    <t>reminder</t>
  </si>
  <si>
    <t>{"group":"Bangalore Flat","you_owe":15000,"to":"Aarav"}</t>
  </si>
  <si>
    <t>2026-04-27 09:00:00</t>
  </si>
  <si>
    <t>audit_log</t>
  </si>
  <si>
    <t>Immutable history. Visible to all group members (per FR-AUD-01). Drives the "edited X minutes ago" UI and dispute investigations.</t>
  </si>
  <si>
    <t>actor_id</t>
  </si>
  <si>
    <t>entity_type</t>
  </si>
  <si>
    <t>entity_id</t>
  </si>
  <si>
    <t>action</t>
  </si>
  <si>
    <t>before</t>
  </si>
  <si>
    <t>after</t>
  </si>
  <si>
    <t>create</t>
  </si>
  <si>
    <t>{"description":"April Rent","amount":45000}</t>
  </si>
  <si>
    <t>{"description":"Beach Dinner","amount":4500}</t>
  </si>
  <si>
    <t>update</t>
  </si>
  <si>
    <t>{"description":"Beach Dinner"}</t>
  </si>
  <si>
    <t>{"description":"Beachside Dinner"}</t>
  </si>
  <si>
    <t>{"amount":15000,"method":"upi_deeplink"}</t>
  </si>
  <si>
    <t>fx_rates</t>
  </si>
  <si>
    <t>Daily snapshot from Open Exchange Rates. PK = (base, quote, fetched_at::date). Expense rows snapshot fx_rate_to_base at write time so they're immune to future rate changes.</t>
  </si>
  <si>
    <t>base</t>
  </si>
  <si>
    <t>quote</t>
  </si>
  <si>
    <t>rate</t>
  </si>
  <si>
    <t>fetched_at</t>
  </si>
  <si>
    <t>USD</t>
  </si>
  <si>
    <t>2026-04-28 06:00:00</t>
  </si>
  <si>
    <t>EUR</t>
  </si>
  <si>
    <t>GBP</t>
  </si>
  <si>
    <t>recurring_expenses</t>
  </si>
  <si>
    <t>Cron-scheduled. Worker reads next_run_at, materializes template_payload into a real expense row, advances next_run_at. Pause = set active=false.</t>
  </si>
  <si>
    <t>template_payload</t>
  </si>
  <si>
    <t>schedule_cron</t>
  </si>
  <si>
    <t>next_run_at</t>
  </si>
  <si>
    <t>active</t>
  </si>
  <si>
    <t>re001</t>
  </si>
  <si>
    <t>{"description":"Monthly Rent","amount":45000,"category_id":"c002","payers":[{"user_id":"u001","amount":45000}],"split":{"type":"equal","users":["u001","u003","u005"]}}</t>
  </si>
  <si>
    <t>0 9 1 * *</t>
  </si>
  <si>
    <t>2026-05-01 09:00:00</t>
  </si>
  <si>
    <t>re002</t>
  </si>
  <si>
    <t>{"description":"Netflix","amount":499,"category_id":"c004","payers":[{"user_id":"u003","amount":499}],"split":{"type":"equal","users":["u001","u003","u005"]}}</t>
  </si>
  <si>
    <t>0 9 5 * *</t>
  </si>
  <si>
    <t>2026-05-05 09:00:00</t>
  </si>
  <si>
    <t>subscriptions</t>
  </si>
  <si>
    <t>Pro tier subscriptions. gateway_sub_id is the Razorpay/App Store/Play Store subscription ID for webhook reconciliation.</t>
  </si>
  <si>
    <t>plan</t>
  </si>
  <si>
    <t>started_at</t>
  </si>
  <si>
    <t>current_period_end</t>
  </si>
  <si>
    <t>gateway</t>
  </si>
  <si>
    <t>gateway_sub_id</t>
  </si>
  <si>
    <t>sub001</t>
  </si>
  <si>
    <t>yearly</t>
  </si>
  <si>
    <t>2026-03-01 12:00:00</t>
  </si>
  <si>
    <t>2027-03-01 12:00:00</t>
  </si>
  <si>
    <t>rzp_sub_KARAN001</t>
  </si>
  <si>
    <t>sub002</t>
  </si>
  <si>
    <t>monthly</t>
  </si>
  <si>
    <t>trial</t>
  </si>
  <si>
    <t>2026-04-20 10:00:00</t>
  </si>
  <si>
    <t>2026-05-20 10:00:00</t>
  </si>
  <si>
    <t>rzp_sub_PRIYA002</t>
  </si>
  <si>
    <t>ghost_invites</t>
  </si>
  <si>
    <t>When someone adds a ghost member, we generate an invite link. When the ghost user clicks it and signs up, we set claimed_by + claimed_at and merge their ghost record into a real user.</t>
  </si>
  <si>
    <t>ghost_user_id</t>
  </si>
  <si>
    <t>contact_phone</t>
  </si>
  <si>
    <t>contact_email</t>
  </si>
  <si>
    <t>link_token</t>
  </si>
  <si>
    <t>claimed_by</t>
  </si>
  <si>
    <t>claimed_at</t>
  </si>
  <si>
    <t>gi001</t>
  </si>
  <si>
    <t>+919812340099</t>
  </si>
  <si>
    <t>tok_abc123xyz789</t>
  </si>
  <si>
    <t>★ balance_summary (computed via formulas from ledger_entries)</t>
  </si>
  <si>
    <t>This sheet uses SUMIFS against the ledger_entries sheet to prove the model. Edit any amount in ledger_entries and these numbers update — that's the whole point of double-entry.</t>
  </si>
  <si>
    <t>total_owed_to_them (INR)</t>
  </si>
  <si>
    <t>total_they_owe (INR)</t>
  </si>
  <si>
    <t>net_balance (INR)</t>
  </si>
  <si>
    <t>interpretation</t>
  </si>
  <si>
    <t>Aarav</t>
  </si>
  <si>
    <t>Priya</t>
  </si>
  <si>
    <t>Rohan</t>
  </si>
  <si>
    <t>Neha</t>
  </si>
  <si>
    <t>Karan</t>
  </si>
  <si>
    <t>SANITY CHECK</t>
  </si>
  <si>
    <t>Net should = 0 (every debit has a credit)</t>
  </si>
  <si>
    <t>★ Workflow walkthrough — what happens when an expense is added &amp; settled</t>
  </si>
  <si>
    <t>Step</t>
  </si>
  <si>
    <t>Action</t>
  </si>
  <si>
    <t>What happens in the DB</t>
  </si>
  <si>
    <t>1</t>
  </si>
  <si>
    <t>User taps "Add Expense"</t>
  </si>
  <si>
    <t>Mobile app opens form. Local draft kept in WatermelonDB until save.</t>
  </si>
  <si>
    <t>2</t>
  </si>
  <si>
    <t>User enters: ₹4500 dinner, Priya paid, split equally 5 ways including ghost Vikram</t>
  </si>
  <si>
    <t>No DB writes yet — all client-side.</t>
  </si>
  <si>
    <t>3</t>
  </si>
  <si>
    <t>User attaches receipt photo</t>
  </si>
  <si>
    <t>Photo uploaded to S3 → row inserted in receipts (ocr_status=pending). receipt_id returned.</t>
  </si>
  <si>
    <t>4</t>
  </si>
  <si>
    <t>OCR worker picks up receipt async</t>
  </si>
  <si>
    <t>receipts.ocr_status → done. ocr_data populated with parsed items.</t>
  </si>
  <si>
    <t>5</t>
  </si>
  <si>
    <t>User reviews parsed items, confirms &amp; taps Save</t>
  </si>
  <si>
    <t>API receives full payload.</t>
  </si>
  <si>
    <t>6</t>
  </si>
  <si>
    <t>Backend opens a single Postgres transaction</t>
  </si>
  <si>
    <t>BEGIN;</t>
  </si>
  <si>
    <t>7</t>
  </si>
  <si>
    <t>Insert into expenses</t>
  </si>
  <si>
    <t>1 row in expenses (e002).</t>
  </si>
  <si>
    <t>8</t>
  </si>
  <si>
    <t>Insert into expense_payers</t>
  </si>
  <si>
    <t>1 row: (e002, u002, 4500).</t>
  </si>
  <si>
    <t>9</t>
  </si>
  <si>
    <t>Insert into expense_splits</t>
  </si>
  <si>
    <t>5 rows: one per person, share_amount=900.</t>
  </si>
  <si>
    <t>10</t>
  </si>
  <si>
    <t>Insert into expense_items + assignments (because itemized)</t>
  </si>
  <si>
    <t>4 items, multiple assignments.</t>
  </si>
  <si>
    <t>11</t>
  </si>
  <si>
    <t>Insert into ledger_entries</t>
  </si>
  <si>
    <t>★ 4 rows: u002→u001, u002→u003, u002→u004, u002→u006 (each 900). All share txn_id=txn002.</t>
  </si>
  <si>
    <t>12</t>
  </si>
  <si>
    <t>Insert into audit_log</t>
  </si>
  <si>
    <t>1 row: actor=u002, action=create, entity=e002, after=full payload.</t>
  </si>
  <si>
    <t>13</t>
  </si>
  <si>
    <t>Commit transaction</t>
  </si>
  <si>
    <t>COMMIT. Either ALL or NOTHING is written. This is why Postgres &gt; Mongo here.</t>
  </si>
  <si>
    <t>14</t>
  </si>
  <si>
    <t>Outbox worker reads pending notifications</t>
  </si>
  <si>
    <t>Pushes FCM/APNs to all group members except sender.</t>
  </si>
  <si>
    <t>── A few days later, Rohan settles up ──</t>
  </si>
  <si>
    <t>15</t>
  </si>
  <si>
    <t>Rohan taps "Settle Up" on his ₹15k debt to Aarav</t>
  </si>
  <si>
    <t>App generates UPI deep link: upi://pay?pa=aarav@oksbi&amp;am=15000&amp;tn=...</t>
  </si>
  <si>
    <t>16</t>
  </si>
  <si>
    <t>UPI app opens, Rohan confirms with PIN</t>
  </si>
  <si>
    <t>External — no DB writes. App returns to ours.</t>
  </si>
  <si>
    <t>17</t>
  </si>
  <si>
    <t>Rohan taps "Mark as paid" in our app</t>
  </si>
  <si>
    <t>API call to /settlements with idempotency_key.</t>
  </si>
  <si>
    <t>18</t>
  </si>
  <si>
    <t>Backend opens transaction</t>
  </si>
  <si>
    <t>19</t>
  </si>
  <si>
    <t>Insert into settlements (status=success)</t>
  </si>
  <si>
    <t>1 row: s001, payer=u003, payee=u001, 15000, method=upi_deeplink.</t>
  </si>
  <si>
    <t>20</t>
  </si>
  <si>
    <t>Insert ledger reversal entry</t>
  </si>
  <si>
    <t>★ 1 row: debit=u003, credit=u001, 15000, source=settlement, source_id=s001, txn_id=txn005. This CANCELS le001.</t>
  </si>
  <si>
    <t>21</t>
  </si>
  <si>
    <t>Insert into audit_log + notifications</t>
  </si>
  <si>
    <t>Aarav gets push: "Rohan paid you ₹15,000".</t>
  </si>
  <si>
    <t>22</t>
  </si>
  <si>
    <t>Commit</t>
  </si>
  <si>
    <t>COMMIT.</t>
  </si>
  <si>
    <t>23</t>
  </si>
  <si>
    <t>Recompute balance</t>
  </si>
  <si>
    <t>Open balance_summary — Rohan now shows 0 with Aarav (le001 + le010 cancel out). Karan still owes 15k.</t>
  </si>
  <si>
    <t>KEY TAKEAWAY</t>
  </si>
  <si>
    <t>Balances are NEVER stored. They are SUMIFS over ledger_entries. Expenses can be edited or deleted — we just write reversal ledger entries. The ledger is append-only and is the audit trail for money.</t>
  </si>
  <si>
    <t>users ──&lt; group_members &gt;── groups</t>
  </si>
  <si>
    <t xml:space="preserve">  │                          │</t>
  </si>
  <si>
    <t xml:space="preserve">  │                          └──&lt; expenses &gt;── expense_payers</t>
  </si>
  <si>
    <t xml:space="preserve">  │                                  │              │</t>
  </si>
  <si>
    <t xml:space="preserve">  │                                  ├──&lt; expense_splits</t>
  </si>
  <si>
    <t xml:space="preserve">  │                                  ├──&lt; expense_items &gt;── expense_item_assignments</t>
  </si>
  <si>
    <t xml:space="preserve">  │                                  └──&lt; receipts (OCR'd)</t>
  </si>
  <si>
    <t xml:space="preserve">  │</t>
  </si>
  <si>
    <t xml:space="preserve">  ├──&lt; ledger_entries (every expense + settlement writes here) — SOURCE OF TRUTH for balances</t>
  </si>
  <si>
    <t xml:space="preserve">  ├──&lt; settlements ──&lt; (writes ledger_entries when status=success)</t>
  </si>
  <si>
    <t xml:space="preserve">  ├──&lt; chat_messages, comments, notifications</t>
  </si>
  <si>
    <t xml:space="preserve">  └──&lt; audit_log (everything that mutates writes here)</t>
  </si>
  <si>
    <t>How they connect (mental model)</t>
  </si>
  <si>
    <t>Numbers tie out — total debits = total credits = ₹58,800, net = 0. The double-entry ledger is mathematically consistent. Aarav is owed ₹24,300 net across all groups, Karan owes the most (₹15k for rent), and so on.</t>
  </si>
  <si>
    <t>Ran a command, read a file</t>
  </si>
  <si>
    <r>
      <t>25 sheets, all wired together with one coherent story</t>
    </r>
    <r>
      <rPr>
        <sz val="11"/>
        <color theme="1"/>
        <rFont val="Calibri"/>
        <family val="2"/>
        <charset val="1"/>
      </rPr>
      <t xml:space="preserve"> — your BRD personas (Aarav, Priya, Rohan, Neha, Karan + a ghost Vikram) splitting rent in a Bangalore flat, a Goa trip, and a couple ledger.</t>
    </r>
  </si>
  <si>
    <t>Open these first to get the most value:</t>
  </si>
  <si>
    <r>
      <t>1. README</t>
    </r>
    <r>
      <rPr>
        <sz val="11"/>
        <color theme="1"/>
        <rFont val="Calibri"/>
        <family val="2"/>
        <charset val="1"/>
      </rPr>
      <t xml:space="preserve"> — the map. Tells you what every sheet is for.</t>
    </r>
  </si>
  <si>
    <r>
      <t>2. workflow_example</t>
    </r>
    <r>
      <rPr>
        <sz val="11"/>
        <color theme="1"/>
        <rFont val="Calibri"/>
        <family val="2"/>
        <charset val="1"/>
      </rPr>
      <t xml:space="preserve"> — step-by-step of what hits the DB when an expense is added and then settled. Read this before anything else.</t>
    </r>
  </si>
  <si>
    <r>
      <t>3. ledger_entries</t>
    </r>
    <r>
      <rPr>
        <sz val="11"/>
        <color theme="1"/>
        <rFont val="Calibri"/>
        <family val="2"/>
        <charset val="1"/>
      </rPr>
      <t xml:space="preserve"> — the heart of the model. Everything else feeds into or out of this.</t>
    </r>
  </si>
  <si>
    <r>
      <t>4. ★ balance_summary</t>
    </r>
    <r>
      <rPr>
        <sz val="11"/>
        <color theme="1"/>
        <rFont val="Calibri"/>
        <family val="2"/>
        <charset val="1"/>
      </rPr>
      <t xml:space="preserve"> — uses live SUMIFS formulas against </t>
    </r>
    <r>
      <rPr>
        <sz val="10"/>
        <color theme="1"/>
        <rFont val="Arial Unicode MS"/>
      </rPr>
      <t>ledger_entries</t>
    </r>
    <r>
      <rPr>
        <sz val="11"/>
        <color theme="1"/>
        <rFont val="Calibri"/>
        <family val="2"/>
        <charset val="1"/>
      </rPr>
      <t xml:space="preserve">. Try editing an </t>
    </r>
    <r>
      <rPr>
        <sz val="10"/>
        <color theme="1"/>
        <rFont val="Arial Unicode MS"/>
      </rPr>
      <t>amount</t>
    </r>
    <r>
      <rPr>
        <sz val="11"/>
        <color theme="1"/>
        <rFont val="Calibri"/>
        <family val="2"/>
        <charset val="1"/>
      </rPr>
      <t xml:space="preserve"> in </t>
    </r>
    <r>
      <rPr>
        <sz val="10"/>
        <color theme="1"/>
        <rFont val="Arial Unicode MS"/>
      </rPr>
      <t>ledger_entries</t>
    </r>
    <r>
      <rPr>
        <sz val="11"/>
        <color theme="1"/>
        <rFont val="Calibri"/>
        <family val="2"/>
        <charset val="1"/>
      </rPr>
      <t xml:space="preserve"> and watch this sheet update. That's the entire point of the double-entry pattern.</t>
    </r>
  </si>
  <si>
    <r>
      <t>Sanity check that proves the model is right:</t>
    </r>
    <r>
      <rPr>
        <sz val="11"/>
        <color theme="1"/>
        <rFont val="Calibri"/>
        <family val="2"/>
        <charset val="1"/>
      </rPr>
      <t xml:space="preserve"> total amounts owed = total amounts owing = ₹58,800. Net across all users = exactly 0. That's how you know your ledger is balanced — every debit has a credit.</t>
    </r>
  </si>
  <si>
    <t>A few things to notice as you browse:</t>
  </si>
  <si>
    <r>
      <t>expense_payers</t>
    </r>
    <r>
      <rPr>
        <b/>
        <sz val="11"/>
        <color theme="1"/>
        <rFont val="Calibri"/>
        <family val="2"/>
        <charset val="1"/>
      </rPr>
      <t xml:space="preserve"> for e003</t>
    </r>
    <r>
      <rPr>
        <sz val="11"/>
        <color theme="1"/>
        <rFont val="Calibri"/>
        <family val="2"/>
        <charset val="1"/>
      </rPr>
      <t xml:space="preserve"> has two rows (Aarav ₹15k + Neha ₹5k = ₹20k total) — that's multi-payer support working.</t>
    </r>
  </si>
  <si>
    <r>
      <t>expense_items</t>
    </r>
    <r>
      <rPr>
        <b/>
        <sz val="11"/>
        <color theme="1"/>
        <rFont val="Calibri"/>
        <family val="2"/>
        <charset val="1"/>
      </rPr>
      <t xml:space="preserve"> + </t>
    </r>
    <r>
      <rPr>
        <b/>
        <sz val="10"/>
        <color theme="1"/>
        <rFont val="Arial Unicode MS"/>
      </rPr>
      <t>expense_item_assignments</t>
    </r>
    <r>
      <rPr>
        <sz val="11"/>
        <color theme="1"/>
        <rFont val="Calibri"/>
        <family val="2"/>
        <charset val="1"/>
      </rPr>
      <t xml:space="preserve"> for e002 show item-level split: Rohan claims 2 beers, Aarav claims 1, etc. Tax gets distributed proportionally.</t>
    </r>
  </si>
  <si>
    <r>
      <t>settlements</t>
    </r>
    <r>
      <rPr>
        <b/>
        <sz val="11"/>
        <color theme="1"/>
        <rFont val="Calibri"/>
        <family val="2"/>
        <charset val="1"/>
      </rPr>
      <t xml:space="preserve"> s001</t>
    </r>
    <r>
      <rPr>
        <sz val="11"/>
        <color theme="1"/>
        <rFont val="Calibri"/>
        <family val="2"/>
        <charset val="1"/>
      </rPr>
      <t xml:space="preserve"> is </t>
    </r>
    <r>
      <rPr>
        <sz val="10"/>
        <color theme="1"/>
        <rFont val="Arial Unicode MS"/>
      </rPr>
      <t>success</t>
    </r>
    <r>
      <rPr>
        <sz val="11"/>
        <color theme="1"/>
        <rFont val="Calibri"/>
        <family val="2"/>
        <charset val="1"/>
      </rPr>
      <t xml:space="preserve"> and wrote a reversal </t>
    </r>
    <r>
      <rPr>
        <sz val="10"/>
        <color theme="1"/>
        <rFont val="Arial Unicode MS"/>
      </rPr>
      <t>ledger_entry</t>
    </r>
    <r>
      <rPr>
        <sz val="11"/>
        <color theme="1"/>
        <rFont val="Calibri"/>
        <family val="2"/>
        <charset val="1"/>
      </rPr>
      <t xml:space="preserve"> (le010). </t>
    </r>
    <r>
      <rPr>
        <b/>
        <sz val="11"/>
        <color theme="1"/>
        <rFont val="Calibri"/>
        <family val="2"/>
        <charset val="1"/>
      </rPr>
      <t>s002</t>
    </r>
    <r>
      <rPr>
        <sz val="11"/>
        <color theme="1"/>
        <rFont val="Calibri"/>
        <family val="2"/>
        <charset val="1"/>
      </rPr>
      <t xml:space="preserve">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charset val="1"/>
      </rPr>
      <t xml:space="preserve"> — no ledger entries yet. That's why Karan still shows ₹15k owed but Rohan is square with Aarav.</t>
    </r>
  </si>
  <si>
    <r>
      <t>audit_log</t>
    </r>
    <r>
      <rPr>
        <b/>
        <sz val="11"/>
        <color theme="1"/>
        <rFont val="Calibri"/>
        <family val="2"/>
        <charset val="1"/>
      </rPr>
      <t xml:space="preserve"> row 3</t>
    </r>
    <r>
      <rPr>
        <sz val="11"/>
        <color theme="1"/>
        <rFont val="Calibri"/>
        <family val="2"/>
        <charset val="1"/>
      </rPr>
      <t xml:space="preserve"> shows Priya edited the dinner description from "Beach Dinner" → "Beachside Dinner". That history is permanent and visible to all group members.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</si>
</sst>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\-"/>
  </numFmts>
  <fonts count="14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4"/>
      <color rgb="FF1F4E78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b/>
      <i/>
      <sz val="10"/>
      <color rgb="FF666666"/>
      <name val="Arial"/>
      <charset val="1"/>
    </font>
    <font>
      <b/>
      <sz val="10"/>
      <color rgb="FF1F4E78"/>
      <name val="Arial"/>
      <charset val="1"/>
    </font>
    <font>
      <b/>
      <sz val="11"/>
      <color theme="1"/>
      <name val="Calibri"/>
      <family val="2"/>
    </font>
    <font>
      <b/>
      <sz val="11"/>
      <color theme="1"/>
      <name val="Calibri"/>
      <family val="2"/>
      <charset val="1"/>
    </font>
    <font>
      <b/>
      <sz val="10"/>
      <color theme="1"/>
      <name val="Arial Unicode MS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CC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6" fillId="2" borderId="1" xfId="0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7" fillId="0" borderId="0" xfId="0" applyFont="1"/>
    <xf numFmtId="164" fontId="7" fillId="0" borderId="0" xfId="0" applyNumberFormat="1" applyFont="1"/>
    <xf numFmtId="0" fontId="6" fillId="2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0" fontId="10" fillId="0" borderId="0" xfId="0" applyFont="1"/>
    <xf numFmtId="0" fontId="5" fillId="0" borderId="0" xfId="0" applyFont="1" applyAlignment="1">
      <alignment wrapText="1"/>
    </xf>
    <xf numFmtId="0" fontId="11" fillId="0" borderId="0" xfId="0" applyFont="1"/>
    <xf numFmtId="0" fontId="0" fillId="0" borderId="0" xfId="0" applyAlignment="1">
      <alignment horizontal="left" vertical="center" indent="1"/>
    </xf>
    <xf numFmtId="0" fontId="1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topLeftCell="A66" zoomScaleNormal="100" workbookViewId="0">
      <selection activeCell="B68" sqref="B68:B89"/>
    </sheetView>
  </sheetViews>
  <sheetFormatPr defaultColWidth="8.7109375" defaultRowHeight="15"/>
  <cols>
    <col min="1" max="1" width="30" customWidth="1"/>
    <col min="2" max="2" width="80" customWidth="1"/>
  </cols>
  <sheetData>
    <row r="1" spans="1:2" ht="20.25">
      <c r="A1" s="1" t="s">
        <v>0</v>
      </c>
    </row>
    <row r="3" spans="1:2">
      <c r="A3" s="2"/>
      <c r="B3" s="3"/>
    </row>
    <row r="4" spans="1:2" ht="25.5">
      <c r="A4" s="4" t="s">
        <v>1</v>
      </c>
      <c r="B4" s="3" t="s">
        <v>2</v>
      </c>
    </row>
    <row r="5" spans="1:2" ht="25.5">
      <c r="A5" s="4" t="s">
        <v>3</v>
      </c>
      <c r="B5" s="3" t="s">
        <v>4</v>
      </c>
    </row>
    <row r="6" spans="1:2" ht="25.5">
      <c r="A6" s="4" t="s">
        <v>5</v>
      </c>
      <c r="B6" s="3" t="s">
        <v>6</v>
      </c>
    </row>
    <row r="7" spans="1:2">
      <c r="A7" s="4" t="s">
        <v>7</v>
      </c>
      <c r="B7" s="3" t="s">
        <v>8</v>
      </c>
    </row>
    <row r="8" spans="1:2" ht="25.5">
      <c r="A8" s="4" t="s">
        <v>9</v>
      </c>
      <c r="B8" s="3" t="s">
        <v>10</v>
      </c>
    </row>
    <row r="9" spans="1:2">
      <c r="A9" s="2"/>
      <c r="B9" s="3"/>
    </row>
    <row r="10" spans="1:2">
      <c r="A10" s="4" t="s">
        <v>11</v>
      </c>
      <c r="B10" s="3" t="s">
        <v>12</v>
      </c>
    </row>
    <row r="11" spans="1:2">
      <c r="A11" s="2" t="s">
        <v>13</v>
      </c>
      <c r="B11" s="3" t="s">
        <v>14</v>
      </c>
    </row>
    <row r="12" spans="1:2">
      <c r="A12" s="2" t="s">
        <v>15</v>
      </c>
      <c r="B12" s="3" t="s">
        <v>16</v>
      </c>
    </row>
    <row r="13" spans="1:2">
      <c r="A13" s="2" t="s">
        <v>17</v>
      </c>
      <c r="B13" s="3" t="s">
        <v>18</v>
      </c>
    </row>
    <row r="14" spans="1:2">
      <c r="A14" s="4" t="s">
        <v>19</v>
      </c>
      <c r="B14" s="3" t="s">
        <v>20</v>
      </c>
    </row>
    <row r="15" spans="1:2">
      <c r="A15" s="4" t="s">
        <v>21</v>
      </c>
      <c r="B15" s="3" t="s">
        <v>22</v>
      </c>
    </row>
    <row r="16" spans="1:2">
      <c r="A16" s="4" t="s">
        <v>23</v>
      </c>
      <c r="B16" s="3" t="s">
        <v>24</v>
      </c>
    </row>
    <row r="17" spans="1:2">
      <c r="A17" s="4" t="s">
        <v>25</v>
      </c>
      <c r="B17" s="3" t="s">
        <v>26</v>
      </c>
    </row>
    <row r="18" spans="1:2">
      <c r="A18" s="4" t="s">
        <v>27</v>
      </c>
      <c r="B18" s="3" t="s">
        <v>28</v>
      </c>
    </row>
    <row r="19" spans="1:2">
      <c r="A19" s="4" t="s">
        <v>29</v>
      </c>
      <c r="B19" s="3" t="s">
        <v>30</v>
      </c>
    </row>
    <row r="20" spans="1:2">
      <c r="A20" s="2" t="s">
        <v>31</v>
      </c>
      <c r="B20" s="3" t="s">
        <v>32</v>
      </c>
    </row>
    <row r="21" spans="1:2">
      <c r="A21" s="2" t="s">
        <v>33</v>
      </c>
      <c r="B21" s="3" t="s">
        <v>34</v>
      </c>
    </row>
    <row r="22" spans="1:2">
      <c r="A22" s="2" t="s">
        <v>35</v>
      </c>
      <c r="B22" s="3" t="s">
        <v>36</v>
      </c>
    </row>
    <row r="23" spans="1:2">
      <c r="A23" s="2" t="s">
        <v>37</v>
      </c>
      <c r="B23" s="3" t="s">
        <v>38</v>
      </c>
    </row>
    <row r="24" spans="1:2">
      <c r="A24" s="2" t="s">
        <v>39</v>
      </c>
      <c r="B24" s="3" t="s">
        <v>40</v>
      </c>
    </row>
    <row r="25" spans="1:2">
      <c r="A25" s="2" t="s">
        <v>41</v>
      </c>
      <c r="B25" s="3" t="s">
        <v>42</v>
      </c>
    </row>
    <row r="26" spans="1:2">
      <c r="A26" s="2" t="s">
        <v>43</v>
      </c>
      <c r="B26" s="3" t="s">
        <v>44</v>
      </c>
    </row>
    <row r="27" spans="1:2">
      <c r="A27" s="2" t="s">
        <v>45</v>
      </c>
      <c r="B27" s="3" t="s">
        <v>46</v>
      </c>
    </row>
    <row r="28" spans="1:2">
      <c r="A28" s="2" t="s">
        <v>47</v>
      </c>
      <c r="B28" s="3" t="s">
        <v>48</v>
      </c>
    </row>
    <row r="29" spans="1:2">
      <c r="A29" s="2" t="s">
        <v>49</v>
      </c>
      <c r="B29" s="3" t="s">
        <v>50</v>
      </c>
    </row>
    <row r="30" spans="1:2">
      <c r="A30" s="2" t="s">
        <v>51</v>
      </c>
      <c r="B30" s="3" t="s">
        <v>52</v>
      </c>
    </row>
    <row r="31" spans="1:2">
      <c r="A31" s="2" t="s">
        <v>53</v>
      </c>
      <c r="B31" s="3" t="s">
        <v>54</v>
      </c>
    </row>
    <row r="32" spans="1:2">
      <c r="A32" s="2" t="s">
        <v>55</v>
      </c>
      <c r="B32" s="3" t="s">
        <v>56</v>
      </c>
    </row>
    <row r="33" spans="1:2">
      <c r="A33" s="2" t="s">
        <v>57</v>
      </c>
      <c r="B33" s="3" t="s">
        <v>58</v>
      </c>
    </row>
    <row r="34" spans="1:2">
      <c r="A34" s="2" t="s">
        <v>59</v>
      </c>
      <c r="B34" s="3" t="s">
        <v>60</v>
      </c>
    </row>
    <row r="35" spans="1:2">
      <c r="A35" s="2"/>
      <c r="B35" s="3"/>
    </row>
    <row r="36" spans="1:2">
      <c r="A36" s="4" t="s">
        <v>61</v>
      </c>
      <c r="B36" s="3"/>
    </row>
    <row r="37" spans="1:2">
      <c r="A37" s="4" t="s">
        <v>62</v>
      </c>
      <c r="B37" s="3" t="s">
        <v>63</v>
      </c>
    </row>
    <row r="38" spans="1:2">
      <c r="A38" s="4" t="s">
        <v>64</v>
      </c>
      <c r="B38" s="3" t="s">
        <v>65</v>
      </c>
    </row>
    <row r="39" spans="1:2">
      <c r="A39" s="2" t="s">
        <v>66</v>
      </c>
      <c r="B39" s="3" t="s">
        <v>67</v>
      </c>
    </row>
    <row r="42" spans="1:2">
      <c r="B42" s="17" t="s">
        <v>580</v>
      </c>
    </row>
    <row r="44" spans="1:2">
      <c r="B44" t="s">
        <v>568</v>
      </c>
    </row>
    <row r="45" spans="1:2">
      <c r="B45" t="s">
        <v>569</v>
      </c>
    </row>
    <row r="46" spans="1:2">
      <c r="B46" t="s">
        <v>570</v>
      </c>
    </row>
    <row r="47" spans="1:2">
      <c r="B47" t="s">
        <v>571</v>
      </c>
    </row>
    <row r="48" spans="1:2">
      <c r="B48" t="s">
        <v>572</v>
      </c>
    </row>
    <row r="49" spans="2:2">
      <c r="B49" t="s">
        <v>573</v>
      </c>
    </row>
    <row r="50" spans="2:2">
      <c r="B50" t="s">
        <v>574</v>
      </c>
    </row>
    <row r="51" spans="2:2">
      <c r="B51" t="s">
        <v>575</v>
      </c>
    </row>
    <row r="52" spans="2:2">
      <c r="B52" t="s">
        <v>576</v>
      </c>
    </row>
    <row r="53" spans="2:2">
      <c r="B53" t="s">
        <v>575</v>
      </c>
    </row>
    <row r="54" spans="2:2">
      <c r="B54" t="s">
        <v>577</v>
      </c>
    </row>
    <row r="55" spans="2:2">
      <c r="B55" t="s">
        <v>575</v>
      </c>
    </row>
    <row r="56" spans="2:2">
      <c r="B56" t="s">
        <v>578</v>
      </c>
    </row>
    <row r="57" spans="2:2">
      <c r="B57" t="s">
        <v>575</v>
      </c>
    </row>
    <row r="58" spans="2:2">
      <c r="B58" t="s">
        <v>579</v>
      </c>
    </row>
    <row r="68" spans="2:2">
      <c r="B68" t="s">
        <v>581</v>
      </c>
    </row>
    <row r="70" spans="2:2">
      <c r="B70" t="s">
        <v>582</v>
      </c>
    </row>
    <row r="71" spans="2:2">
      <c r="B71" t="s">
        <v>582</v>
      </c>
    </row>
    <row r="73" spans="2:2">
      <c r="B73" s="19" t="s">
        <v>583</v>
      </c>
    </row>
    <row r="75" spans="2:2">
      <c r="B75" s="19" t="s">
        <v>584</v>
      </c>
    </row>
    <row r="76" spans="2:2">
      <c r="B76" s="20"/>
    </row>
    <row r="77" spans="2:2">
      <c r="B77" s="21" t="s">
        <v>585</v>
      </c>
    </row>
    <row r="78" spans="2:2">
      <c r="B78" s="21" t="s">
        <v>586</v>
      </c>
    </row>
    <row r="79" spans="2:2">
      <c r="B79" s="21" t="s">
        <v>587</v>
      </c>
    </row>
    <row r="80" spans="2:2">
      <c r="B80" s="21" t="s">
        <v>588</v>
      </c>
    </row>
    <row r="82" spans="2:2">
      <c r="B82" s="19" t="s">
        <v>589</v>
      </c>
    </row>
    <row r="84" spans="2:2">
      <c r="B84" s="19" t="s">
        <v>590</v>
      </c>
    </row>
    <row r="85" spans="2:2">
      <c r="B85" s="20"/>
    </row>
    <row r="86" spans="2:2">
      <c r="B86" s="21" t="s">
        <v>591</v>
      </c>
    </row>
    <row r="87" spans="2:2">
      <c r="B87" s="21" t="s">
        <v>592</v>
      </c>
    </row>
    <row r="88" spans="2:2">
      <c r="B88" s="21" t="s">
        <v>593</v>
      </c>
    </row>
    <row r="89" spans="2:2">
      <c r="B89" s="21" t="s">
        <v>594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12" customWidth="1"/>
    <col min="2" max="2" width="15" customWidth="1"/>
    <col min="3" max="3" width="19" customWidth="1"/>
    <col min="4" max="4" width="16" customWidth="1"/>
    <col min="5" max="5" width="22" customWidth="1"/>
    <col min="6" max="6" width="18" customWidth="1"/>
    <col min="7" max="7" width="19" customWidth="1"/>
    <col min="8" max="10" width="12" customWidth="1"/>
    <col min="11" max="12" width="21" customWidth="1"/>
    <col min="13" max="13" width="12" customWidth="1"/>
  </cols>
  <sheetData>
    <row r="1" spans="1:13" ht="18">
      <c r="A1" s="5" t="s">
        <v>68</v>
      </c>
    </row>
    <row r="2" spans="1:13">
      <c r="A2" s="6" t="s">
        <v>69</v>
      </c>
    </row>
    <row r="4" spans="1:13">
      <c r="A4" s="7" t="s">
        <v>70</v>
      </c>
      <c r="B4" s="7" t="s">
        <v>71</v>
      </c>
      <c r="C4" s="7" t="s">
        <v>72</v>
      </c>
      <c r="D4" s="7" t="s">
        <v>73</v>
      </c>
      <c r="E4" s="7" t="s">
        <v>74</v>
      </c>
      <c r="F4" s="7" t="s">
        <v>75</v>
      </c>
      <c r="G4" s="7" t="s">
        <v>76</v>
      </c>
      <c r="H4" s="7" t="s">
        <v>77</v>
      </c>
      <c r="I4" s="7" t="s">
        <v>78</v>
      </c>
      <c r="J4" s="7" t="s">
        <v>79</v>
      </c>
      <c r="K4" s="7" t="s">
        <v>80</v>
      </c>
      <c r="L4" s="7" t="s">
        <v>81</v>
      </c>
      <c r="M4" s="7" t="s">
        <v>82</v>
      </c>
    </row>
    <row r="5" spans="1:13">
      <c r="A5" s="8" t="s">
        <v>83</v>
      </c>
      <c r="B5" s="8" t="s">
        <v>84</v>
      </c>
      <c r="C5" s="8" t="s">
        <v>85</v>
      </c>
      <c r="D5" s="8" t="s">
        <v>86</v>
      </c>
      <c r="E5" s="8" t="s">
        <v>87</v>
      </c>
      <c r="F5" s="8" t="s">
        <v>88</v>
      </c>
      <c r="G5" s="8" t="s">
        <v>89</v>
      </c>
      <c r="H5" s="8" t="s">
        <v>90</v>
      </c>
      <c r="I5" s="8">
        <v>1</v>
      </c>
      <c r="J5" s="8" t="b">
        <f>FALSE()</f>
        <v>0</v>
      </c>
      <c r="K5" s="8" t="s">
        <v>91</v>
      </c>
      <c r="L5" s="8" t="s">
        <v>92</v>
      </c>
      <c r="M5" s="8"/>
    </row>
    <row r="6" spans="1:13">
      <c r="A6" s="8" t="s">
        <v>93</v>
      </c>
      <c r="B6" s="8" t="s">
        <v>94</v>
      </c>
      <c r="C6" s="8" t="s">
        <v>95</v>
      </c>
      <c r="D6" s="8" t="s">
        <v>96</v>
      </c>
      <c r="E6" s="8" t="s">
        <v>97</v>
      </c>
      <c r="F6" s="8" t="s">
        <v>88</v>
      </c>
      <c r="G6" s="8" t="s">
        <v>98</v>
      </c>
      <c r="H6" s="8" t="s">
        <v>99</v>
      </c>
      <c r="I6" s="8">
        <v>1</v>
      </c>
      <c r="J6" s="8" t="b">
        <f>FALSE()</f>
        <v>0</v>
      </c>
      <c r="K6" s="8" t="s">
        <v>100</v>
      </c>
      <c r="L6" s="8" t="s">
        <v>101</v>
      </c>
      <c r="M6" s="8"/>
    </row>
    <row r="7" spans="1:13">
      <c r="A7" s="8" t="s">
        <v>102</v>
      </c>
      <c r="B7" s="8" t="s">
        <v>103</v>
      </c>
      <c r="C7" s="8" t="s">
        <v>104</v>
      </c>
      <c r="D7" s="8" t="s">
        <v>105</v>
      </c>
      <c r="E7" s="8"/>
      <c r="F7" s="8" t="s">
        <v>88</v>
      </c>
      <c r="G7" s="8" t="s">
        <v>106</v>
      </c>
      <c r="H7" s="8" t="s">
        <v>90</v>
      </c>
      <c r="I7" s="8">
        <v>0</v>
      </c>
      <c r="J7" s="8" t="b">
        <f>FALSE()</f>
        <v>0</v>
      </c>
      <c r="K7" s="8" t="s">
        <v>107</v>
      </c>
      <c r="L7" s="8" t="s">
        <v>108</v>
      </c>
      <c r="M7" s="8"/>
    </row>
    <row r="8" spans="1:13">
      <c r="A8" s="8" t="s">
        <v>109</v>
      </c>
      <c r="B8" s="8" t="s">
        <v>110</v>
      </c>
      <c r="C8" s="8" t="s">
        <v>111</v>
      </c>
      <c r="D8" s="8" t="s">
        <v>112</v>
      </c>
      <c r="E8" s="8" t="s">
        <v>113</v>
      </c>
      <c r="F8" s="8" t="s">
        <v>88</v>
      </c>
      <c r="G8" s="8" t="s">
        <v>114</v>
      </c>
      <c r="H8" s="8" t="s">
        <v>90</v>
      </c>
      <c r="I8" s="8">
        <v>1</v>
      </c>
      <c r="J8" s="8" t="b">
        <f>FALSE()</f>
        <v>0</v>
      </c>
      <c r="K8" s="8" t="s">
        <v>115</v>
      </c>
      <c r="L8" s="8" t="s">
        <v>116</v>
      </c>
      <c r="M8" s="8"/>
    </row>
    <row r="9" spans="1:13">
      <c r="A9" s="8" t="s">
        <v>117</v>
      </c>
      <c r="B9" s="8" t="s">
        <v>118</v>
      </c>
      <c r="C9" s="8" t="s">
        <v>119</v>
      </c>
      <c r="D9" s="8" t="s">
        <v>120</v>
      </c>
      <c r="E9" s="8" t="s">
        <v>121</v>
      </c>
      <c r="F9" s="8" t="s">
        <v>88</v>
      </c>
      <c r="G9" s="8" t="s">
        <v>122</v>
      </c>
      <c r="H9" s="8" t="s">
        <v>123</v>
      </c>
      <c r="I9" s="8">
        <v>1</v>
      </c>
      <c r="J9" s="8" t="b">
        <f>FALSE()</f>
        <v>0</v>
      </c>
      <c r="K9" s="8" t="s">
        <v>124</v>
      </c>
      <c r="L9" s="8" t="s">
        <v>125</v>
      </c>
      <c r="M9" s="8"/>
    </row>
    <row r="10" spans="1:13">
      <c r="A10" s="8" t="s">
        <v>126</v>
      </c>
      <c r="B10" s="8"/>
      <c r="C10" s="8"/>
      <c r="D10" s="8" t="s">
        <v>127</v>
      </c>
      <c r="E10" s="8"/>
      <c r="F10" s="8" t="s">
        <v>88</v>
      </c>
      <c r="G10" s="8"/>
      <c r="H10" s="8" t="s">
        <v>90</v>
      </c>
      <c r="I10" s="8">
        <v>0</v>
      </c>
      <c r="J10" s="8" t="b">
        <f>TRUE()</f>
        <v>1</v>
      </c>
      <c r="K10" s="8" t="s">
        <v>128</v>
      </c>
      <c r="L10" s="8" t="s">
        <v>128</v>
      </c>
      <c r="M10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2" width="12" customWidth="1"/>
    <col min="3" max="3" width="16" customWidth="1"/>
    <col min="4" max="4" width="12" customWidth="1"/>
    <col min="5" max="5" width="13" customWidth="1"/>
    <col min="6" max="6" width="21" customWidth="1"/>
  </cols>
  <sheetData>
    <row r="1" spans="1:6" ht="18">
      <c r="A1" s="5" t="s">
        <v>129</v>
      </c>
    </row>
    <row r="2" spans="1:6">
      <c r="A2" s="6" t="s">
        <v>130</v>
      </c>
    </row>
    <row r="4" spans="1:6">
      <c r="A4" s="7" t="s">
        <v>70</v>
      </c>
      <c r="B4" s="7" t="s">
        <v>131</v>
      </c>
      <c r="C4" s="7" t="s">
        <v>132</v>
      </c>
      <c r="D4" s="7" t="s">
        <v>133</v>
      </c>
      <c r="E4" s="7" t="s">
        <v>134</v>
      </c>
      <c r="F4" s="7" t="s">
        <v>135</v>
      </c>
    </row>
    <row r="5" spans="1:6">
      <c r="A5" s="8" t="s">
        <v>136</v>
      </c>
      <c r="B5" s="8" t="s">
        <v>83</v>
      </c>
      <c r="C5" s="8" t="s">
        <v>137</v>
      </c>
      <c r="D5" s="8" t="s">
        <v>138</v>
      </c>
      <c r="E5" s="8" t="s">
        <v>139</v>
      </c>
      <c r="F5" s="8" t="s">
        <v>140</v>
      </c>
    </row>
    <row r="6" spans="1:6">
      <c r="A6" s="8" t="s">
        <v>141</v>
      </c>
      <c r="B6" s="8" t="s">
        <v>83</v>
      </c>
      <c r="C6" s="8" t="s">
        <v>142</v>
      </c>
      <c r="D6" s="8" t="s">
        <v>143</v>
      </c>
      <c r="E6" s="8" t="s">
        <v>139</v>
      </c>
      <c r="F6" s="8" t="s">
        <v>144</v>
      </c>
    </row>
    <row r="7" spans="1:6">
      <c r="A7" s="8" t="s">
        <v>145</v>
      </c>
      <c r="B7" s="8" t="s">
        <v>93</v>
      </c>
      <c r="C7" s="8" t="s">
        <v>146</v>
      </c>
      <c r="D7" s="8" t="s">
        <v>138</v>
      </c>
      <c r="E7" s="8" t="s">
        <v>139</v>
      </c>
      <c r="F7" s="8" t="s">
        <v>147</v>
      </c>
    </row>
    <row r="8" spans="1:6">
      <c r="A8" s="8" t="s">
        <v>148</v>
      </c>
      <c r="B8" s="8" t="s">
        <v>102</v>
      </c>
      <c r="C8" s="8" t="s">
        <v>149</v>
      </c>
      <c r="D8" s="8" t="s">
        <v>138</v>
      </c>
      <c r="E8" s="8" t="s">
        <v>139</v>
      </c>
      <c r="F8" s="8" t="s">
        <v>150</v>
      </c>
    </row>
    <row r="9" spans="1:6">
      <c r="A9" s="8" t="s">
        <v>151</v>
      </c>
      <c r="B9" s="8" t="s">
        <v>109</v>
      </c>
      <c r="C9" s="8" t="s">
        <v>152</v>
      </c>
      <c r="D9" s="8" t="s">
        <v>143</v>
      </c>
      <c r="E9" s="8" t="s">
        <v>139</v>
      </c>
      <c r="F9" s="8" t="s">
        <v>153</v>
      </c>
    </row>
    <row r="10" spans="1:6">
      <c r="A10" s="8" t="s">
        <v>154</v>
      </c>
      <c r="B10" s="8" t="s">
        <v>117</v>
      </c>
      <c r="C10" s="8" t="s">
        <v>155</v>
      </c>
      <c r="D10" s="8" t="s">
        <v>138</v>
      </c>
      <c r="E10" s="8" t="s">
        <v>139</v>
      </c>
      <c r="F10" s="8" t="s">
        <v>156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2" width="12" customWidth="1"/>
    <col min="3" max="3" width="21" customWidth="1"/>
  </cols>
  <sheetData>
    <row r="1" spans="1:3" ht="18">
      <c r="A1" s="5" t="s">
        <v>157</v>
      </c>
    </row>
    <row r="2" spans="1:3">
      <c r="A2" s="6" t="s">
        <v>158</v>
      </c>
    </row>
    <row r="4" spans="1:3">
      <c r="A4" s="7" t="s">
        <v>159</v>
      </c>
      <c r="B4" s="7" t="s">
        <v>160</v>
      </c>
      <c r="C4" s="7" t="s">
        <v>80</v>
      </c>
    </row>
    <row r="5" spans="1:3">
      <c r="A5" s="8" t="s">
        <v>83</v>
      </c>
      <c r="B5" s="8" t="s">
        <v>93</v>
      </c>
      <c r="C5" s="8" t="s">
        <v>161</v>
      </c>
    </row>
    <row r="6" spans="1:3">
      <c r="A6" s="8" t="s">
        <v>83</v>
      </c>
      <c r="B6" s="8" t="s">
        <v>102</v>
      </c>
      <c r="C6" s="8" t="s">
        <v>162</v>
      </c>
    </row>
    <row r="7" spans="1:3">
      <c r="A7" s="8" t="s">
        <v>83</v>
      </c>
      <c r="B7" s="8" t="s">
        <v>109</v>
      </c>
      <c r="C7" s="8" t="s">
        <v>163</v>
      </c>
    </row>
    <row r="8" spans="1:3">
      <c r="A8" s="8" t="s">
        <v>83</v>
      </c>
      <c r="B8" s="8" t="s">
        <v>117</v>
      </c>
      <c r="C8" s="8" t="s">
        <v>164</v>
      </c>
    </row>
    <row r="9" spans="1:3">
      <c r="A9" s="8" t="s">
        <v>93</v>
      </c>
      <c r="B9" s="8" t="s">
        <v>109</v>
      </c>
      <c r="C9" s="8" t="s">
        <v>165</v>
      </c>
    </row>
    <row r="10" spans="1:3">
      <c r="A10" s="8" t="s">
        <v>102</v>
      </c>
      <c r="B10" s="8" t="s">
        <v>117</v>
      </c>
      <c r="C10" s="8" t="s">
        <v>166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12" customWidth="1"/>
    <col min="2" max="2" width="19" customWidth="1"/>
    <col min="3" max="3" width="12" customWidth="1"/>
    <col min="4" max="4" width="18" customWidth="1"/>
    <col min="5" max="5" width="16" customWidth="1"/>
    <col min="6" max="6" width="13" customWidth="1"/>
    <col min="7" max="7" width="12" customWidth="1"/>
    <col min="8" max="9" width="21" customWidth="1"/>
  </cols>
  <sheetData>
    <row r="1" spans="1:9" ht="18">
      <c r="A1" s="5" t="s">
        <v>167</v>
      </c>
    </row>
    <row r="2" spans="1:9">
      <c r="A2" s="6" t="s">
        <v>168</v>
      </c>
    </row>
    <row r="4" spans="1:9">
      <c r="A4" s="7" t="s">
        <v>70</v>
      </c>
      <c r="B4" s="7" t="s">
        <v>73</v>
      </c>
      <c r="C4" s="7" t="s">
        <v>169</v>
      </c>
      <c r="D4" s="7" t="s">
        <v>75</v>
      </c>
      <c r="E4" s="7" t="s">
        <v>170</v>
      </c>
      <c r="F4" s="7" t="s">
        <v>171</v>
      </c>
      <c r="G4" s="7" t="s">
        <v>172</v>
      </c>
      <c r="H4" s="7" t="s">
        <v>80</v>
      </c>
      <c r="I4" s="7" t="s">
        <v>81</v>
      </c>
    </row>
    <row r="5" spans="1:9">
      <c r="A5" s="8" t="s">
        <v>173</v>
      </c>
      <c r="B5" s="8" t="s">
        <v>174</v>
      </c>
      <c r="C5" s="8" t="s">
        <v>175</v>
      </c>
      <c r="D5" s="8" t="s">
        <v>88</v>
      </c>
      <c r="E5" s="8" t="b">
        <f>TRUE()</f>
        <v>1</v>
      </c>
      <c r="F5" s="8"/>
      <c r="G5" s="8" t="s">
        <v>83</v>
      </c>
      <c r="H5" s="8" t="s">
        <v>176</v>
      </c>
      <c r="I5" s="8" t="s">
        <v>177</v>
      </c>
    </row>
    <row r="6" spans="1:9">
      <c r="A6" s="8" t="s">
        <v>178</v>
      </c>
      <c r="B6" s="8" t="s">
        <v>179</v>
      </c>
      <c r="C6" s="8" t="s">
        <v>180</v>
      </c>
      <c r="D6" s="8" t="s">
        <v>88</v>
      </c>
      <c r="E6" s="8" t="b">
        <f>TRUE()</f>
        <v>1</v>
      </c>
      <c r="F6" s="8"/>
      <c r="G6" s="8" t="s">
        <v>83</v>
      </c>
      <c r="H6" s="8" t="s">
        <v>181</v>
      </c>
      <c r="I6" s="8" t="s">
        <v>182</v>
      </c>
    </row>
    <row r="7" spans="1:9">
      <c r="A7" s="8" t="s">
        <v>183</v>
      </c>
      <c r="B7" s="8" t="s">
        <v>184</v>
      </c>
      <c r="C7" s="8" t="s">
        <v>185</v>
      </c>
      <c r="D7" s="8" t="s">
        <v>88</v>
      </c>
      <c r="E7" s="8" t="b">
        <f>FALSE()</f>
        <v>0</v>
      </c>
      <c r="F7" s="8"/>
      <c r="G7" s="8" t="s">
        <v>83</v>
      </c>
      <c r="H7" s="8" t="s">
        <v>186</v>
      </c>
      <c r="I7" s="8" t="s">
        <v>187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3" width="12" customWidth="1"/>
    <col min="4" max="4" width="21" customWidth="1"/>
    <col min="5" max="5" width="12" customWidth="1"/>
  </cols>
  <sheetData>
    <row r="1" spans="1:5" ht="18">
      <c r="A1" s="5" t="s">
        <v>188</v>
      </c>
    </row>
    <row r="2" spans="1:5">
      <c r="A2" s="6" t="s">
        <v>189</v>
      </c>
    </row>
    <row r="4" spans="1:5">
      <c r="A4" s="7" t="s">
        <v>190</v>
      </c>
      <c r="B4" s="7" t="s">
        <v>131</v>
      </c>
      <c r="C4" s="7" t="s">
        <v>191</v>
      </c>
      <c r="D4" s="7" t="s">
        <v>192</v>
      </c>
      <c r="E4" s="7" t="s">
        <v>193</v>
      </c>
    </row>
    <row r="5" spans="1:5">
      <c r="A5" s="8" t="s">
        <v>173</v>
      </c>
      <c r="B5" s="8" t="s">
        <v>83</v>
      </c>
      <c r="C5" s="8" t="s">
        <v>194</v>
      </c>
      <c r="D5" s="8" t="s">
        <v>176</v>
      </c>
      <c r="E5" s="8"/>
    </row>
    <row r="6" spans="1:5">
      <c r="A6" s="8" t="s">
        <v>173</v>
      </c>
      <c r="B6" s="8" t="s">
        <v>102</v>
      </c>
      <c r="C6" s="8" t="s">
        <v>195</v>
      </c>
      <c r="D6" s="8" t="s">
        <v>196</v>
      </c>
      <c r="E6" s="8"/>
    </row>
    <row r="7" spans="1:5">
      <c r="A7" s="8" t="s">
        <v>173</v>
      </c>
      <c r="B7" s="8" t="s">
        <v>117</v>
      </c>
      <c r="C7" s="8" t="s">
        <v>195</v>
      </c>
      <c r="D7" s="8" t="s">
        <v>197</v>
      </c>
      <c r="E7" s="8"/>
    </row>
    <row r="8" spans="1:5">
      <c r="A8" s="8" t="s">
        <v>178</v>
      </c>
      <c r="B8" s="8" t="s">
        <v>83</v>
      </c>
      <c r="C8" s="8" t="s">
        <v>194</v>
      </c>
      <c r="D8" s="8" t="s">
        <v>181</v>
      </c>
      <c r="E8" s="8"/>
    </row>
    <row r="9" spans="1:5">
      <c r="A9" s="8" t="s">
        <v>178</v>
      </c>
      <c r="B9" s="8" t="s">
        <v>93</v>
      </c>
      <c r="C9" s="8" t="s">
        <v>195</v>
      </c>
      <c r="D9" s="8" t="s">
        <v>198</v>
      </c>
      <c r="E9" s="8"/>
    </row>
    <row r="10" spans="1:5">
      <c r="A10" s="8" t="s">
        <v>178</v>
      </c>
      <c r="B10" s="8" t="s">
        <v>102</v>
      </c>
      <c r="C10" s="8" t="s">
        <v>195</v>
      </c>
      <c r="D10" s="8" t="s">
        <v>199</v>
      </c>
      <c r="E10" s="8"/>
    </row>
    <row r="11" spans="1:5">
      <c r="A11" s="8" t="s">
        <v>178</v>
      </c>
      <c r="B11" s="8" t="s">
        <v>109</v>
      </c>
      <c r="C11" s="8" t="s">
        <v>195</v>
      </c>
      <c r="D11" s="8" t="s">
        <v>200</v>
      </c>
      <c r="E11" s="8"/>
    </row>
    <row r="12" spans="1:5">
      <c r="A12" s="8" t="s">
        <v>178</v>
      </c>
      <c r="B12" s="8" t="s">
        <v>126</v>
      </c>
      <c r="C12" s="8" t="s">
        <v>195</v>
      </c>
      <c r="D12" s="8" t="s">
        <v>128</v>
      </c>
      <c r="E12" s="8"/>
    </row>
    <row r="13" spans="1:5">
      <c r="A13" s="8" t="s">
        <v>183</v>
      </c>
      <c r="B13" s="8" t="s">
        <v>83</v>
      </c>
      <c r="C13" s="8" t="s">
        <v>194</v>
      </c>
      <c r="D13" s="8" t="s">
        <v>186</v>
      </c>
      <c r="E13" s="8"/>
    </row>
    <row r="14" spans="1:5">
      <c r="A14" s="8" t="s">
        <v>183</v>
      </c>
      <c r="B14" s="8" t="s">
        <v>93</v>
      </c>
      <c r="C14" s="8" t="s">
        <v>195</v>
      </c>
      <c r="D14" s="8" t="s">
        <v>201</v>
      </c>
      <c r="E14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12" customWidth="1"/>
    <col min="2" max="2" width="16" customWidth="1"/>
    <col min="3" max="7" width="12" customWidth="1"/>
  </cols>
  <sheetData>
    <row r="1" spans="1:7" ht="18">
      <c r="A1" s="5" t="s">
        <v>202</v>
      </c>
    </row>
    <row r="2" spans="1:7">
      <c r="A2" s="6" t="s">
        <v>203</v>
      </c>
    </row>
    <row r="4" spans="1:7">
      <c r="A4" s="7" t="s">
        <v>70</v>
      </c>
      <c r="B4" s="7" t="s">
        <v>73</v>
      </c>
      <c r="C4" s="7" t="s">
        <v>204</v>
      </c>
      <c r="D4" s="7" t="s">
        <v>205</v>
      </c>
      <c r="E4" s="7" t="s">
        <v>206</v>
      </c>
      <c r="F4" s="7" t="s">
        <v>207</v>
      </c>
      <c r="G4" s="7" t="s">
        <v>131</v>
      </c>
    </row>
    <row r="5" spans="1:7">
      <c r="A5" s="8" t="s">
        <v>208</v>
      </c>
      <c r="B5" s="8" t="s">
        <v>209</v>
      </c>
      <c r="C5" s="8" t="s">
        <v>210</v>
      </c>
      <c r="D5" s="8" t="s">
        <v>211</v>
      </c>
      <c r="E5" s="8"/>
      <c r="F5" s="8" t="b">
        <f>TRUE()</f>
        <v>1</v>
      </c>
      <c r="G5" s="8"/>
    </row>
    <row r="6" spans="1:7">
      <c r="A6" s="8" t="s">
        <v>212</v>
      </c>
      <c r="B6" s="8" t="s">
        <v>213</v>
      </c>
      <c r="C6" s="8" t="s">
        <v>214</v>
      </c>
      <c r="D6" s="8" t="s">
        <v>215</v>
      </c>
      <c r="E6" s="8"/>
      <c r="F6" s="8" t="b">
        <f>TRUE()</f>
        <v>1</v>
      </c>
      <c r="G6" s="8"/>
    </row>
    <row r="7" spans="1:7">
      <c r="A7" s="8" t="s">
        <v>216</v>
      </c>
      <c r="B7" s="8" t="s">
        <v>217</v>
      </c>
      <c r="C7" s="8" t="s">
        <v>218</v>
      </c>
      <c r="D7" s="8" t="s">
        <v>219</v>
      </c>
      <c r="E7" s="8"/>
      <c r="F7" s="8" t="b">
        <f>TRUE()</f>
        <v>1</v>
      </c>
      <c r="G7" s="8"/>
    </row>
    <row r="8" spans="1:7">
      <c r="A8" s="8" t="s">
        <v>220</v>
      </c>
      <c r="B8" s="8" t="s">
        <v>221</v>
      </c>
      <c r="C8" s="8" t="s">
        <v>222</v>
      </c>
      <c r="D8" s="8" t="s">
        <v>223</v>
      </c>
      <c r="E8" s="8"/>
      <c r="F8" s="8" t="b">
        <f>TRUE()</f>
        <v>1</v>
      </c>
      <c r="G8" s="8"/>
    </row>
    <row r="9" spans="1:7">
      <c r="A9" s="8" t="s">
        <v>224</v>
      </c>
      <c r="B9" s="8" t="s">
        <v>225</v>
      </c>
      <c r="C9" s="8" t="s">
        <v>226</v>
      </c>
      <c r="D9" s="8" t="s">
        <v>227</v>
      </c>
      <c r="E9" s="8"/>
      <c r="F9" s="8" t="b">
        <f>TRUE()</f>
        <v>1</v>
      </c>
      <c r="G9" s="8"/>
    </row>
    <row r="10" spans="1:7">
      <c r="A10" s="8" t="s">
        <v>228</v>
      </c>
      <c r="B10" s="8" t="s">
        <v>229</v>
      </c>
      <c r="C10" s="8" t="s">
        <v>230</v>
      </c>
      <c r="D10" s="8" t="s">
        <v>211</v>
      </c>
      <c r="E10" s="8" t="s">
        <v>208</v>
      </c>
      <c r="F10" s="8" t="b">
        <f>TRUE()</f>
        <v>1</v>
      </c>
      <c r="G10" s="8"/>
    </row>
    <row r="11" spans="1:7">
      <c r="A11" s="8" t="s">
        <v>231</v>
      </c>
      <c r="B11" s="8" t="s">
        <v>232</v>
      </c>
      <c r="C11" s="8" t="s">
        <v>233</v>
      </c>
      <c r="D11" s="8" t="s">
        <v>219</v>
      </c>
      <c r="E11" s="8" t="s">
        <v>216</v>
      </c>
      <c r="F11" s="8" t="b">
        <f>TRUE()</f>
        <v>1</v>
      </c>
      <c r="G11" s="8"/>
    </row>
    <row r="12" spans="1:7">
      <c r="A12" s="8" t="s">
        <v>234</v>
      </c>
      <c r="B12" s="8" t="s">
        <v>235</v>
      </c>
      <c r="C12" s="8" t="s">
        <v>236</v>
      </c>
      <c r="D12" s="8" t="s">
        <v>237</v>
      </c>
      <c r="E12" s="8"/>
      <c r="F12" s="8" t="b">
        <f>FALSE()</f>
        <v>0</v>
      </c>
      <c r="G12" s="8" t="s">
        <v>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2" width="12" customWidth="1"/>
    <col min="3" max="3" width="24" customWidth="1"/>
    <col min="4" max="5" width="12" customWidth="1"/>
    <col min="6" max="6" width="17" customWidth="1"/>
    <col min="7" max="7" width="12" customWidth="1"/>
    <col min="8" max="8" width="13" customWidth="1"/>
    <col min="9" max="9" width="35" customWidth="1"/>
    <col min="10" max="11" width="12" customWidth="1"/>
    <col min="12" max="13" width="21" customWidth="1"/>
    <col min="14" max="14" width="12" customWidth="1"/>
  </cols>
  <sheetData>
    <row r="1" spans="1:14" ht="18">
      <c r="A1" s="5" t="s">
        <v>238</v>
      </c>
    </row>
    <row r="2" spans="1:14">
      <c r="A2" s="6" t="s">
        <v>239</v>
      </c>
    </row>
    <row r="4" spans="1:14">
      <c r="A4" s="7" t="s">
        <v>70</v>
      </c>
      <c r="B4" s="7" t="s">
        <v>190</v>
      </c>
      <c r="C4" s="7" t="s">
        <v>240</v>
      </c>
      <c r="D4" s="7" t="s">
        <v>241</v>
      </c>
      <c r="E4" s="7" t="s">
        <v>242</v>
      </c>
      <c r="F4" s="7" t="s">
        <v>243</v>
      </c>
      <c r="G4" s="7" t="s">
        <v>244</v>
      </c>
      <c r="H4" s="7" t="s">
        <v>245</v>
      </c>
      <c r="I4" s="7" t="s">
        <v>246</v>
      </c>
      <c r="J4" s="7" t="s">
        <v>247</v>
      </c>
      <c r="K4" s="7" t="s">
        <v>172</v>
      </c>
      <c r="L4" s="7" t="s">
        <v>80</v>
      </c>
      <c r="M4" s="7" t="s">
        <v>81</v>
      </c>
      <c r="N4" s="7" t="s">
        <v>82</v>
      </c>
    </row>
    <row r="5" spans="1:14">
      <c r="A5" s="8" t="s">
        <v>248</v>
      </c>
      <c r="B5" s="8" t="s">
        <v>173</v>
      </c>
      <c r="C5" s="8" t="s">
        <v>249</v>
      </c>
      <c r="D5" s="8">
        <v>45000</v>
      </c>
      <c r="E5" s="8" t="s">
        <v>88</v>
      </c>
      <c r="F5" s="8">
        <v>1</v>
      </c>
      <c r="G5" s="8" t="s">
        <v>250</v>
      </c>
      <c r="H5" s="8" t="s">
        <v>212</v>
      </c>
      <c r="I5" s="8" t="s">
        <v>251</v>
      </c>
      <c r="J5" s="8"/>
      <c r="K5" s="8" t="s">
        <v>83</v>
      </c>
      <c r="L5" s="8" t="s">
        <v>252</v>
      </c>
      <c r="M5" s="8" t="s">
        <v>252</v>
      </c>
      <c r="N5" s="8"/>
    </row>
    <row r="6" spans="1:14">
      <c r="A6" s="8" t="s">
        <v>253</v>
      </c>
      <c r="B6" s="8" t="s">
        <v>178</v>
      </c>
      <c r="C6" s="8" t="s">
        <v>254</v>
      </c>
      <c r="D6" s="8">
        <v>4500</v>
      </c>
      <c r="E6" s="8" t="s">
        <v>88</v>
      </c>
      <c r="F6" s="8">
        <v>1</v>
      </c>
      <c r="G6" s="8" t="s">
        <v>255</v>
      </c>
      <c r="H6" s="8" t="s">
        <v>228</v>
      </c>
      <c r="I6" s="8" t="s">
        <v>256</v>
      </c>
      <c r="J6" s="8" t="s">
        <v>257</v>
      </c>
      <c r="K6" s="8" t="s">
        <v>93</v>
      </c>
      <c r="L6" s="8" t="s">
        <v>258</v>
      </c>
      <c r="M6" s="8" t="s">
        <v>259</v>
      </c>
      <c r="N6" s="8"/>
    </row>
    <row r="7" spans="1:14">
      <c r="A7" s="8" t="s">
        <v>260</v>
      </c>
      <c r="B7" s="8" t="s">
        <v>178</v>
      </c>
      <c r="C7" s="8" t="s">
        <v>261</v>
      </c>
      <c r="D7" s="8">
        <v>20000</v>
      </c>
      <c r="E7" s="8" t="s">
        <v>88</v>
      </c>
      <c r="F7" s="8">
        <v>1</v>
      </c>
      <c r="G7" s="8" t="s">
        <v>262</v>
      </c>
      <c r="H7" s="8" t="s">
        <v>231</v>
      </c>
      <c r="I7" s="8" t="s">
        <v>263</v>
      </c>
      <c r="J7" s="8"/>
      <c r="K7" s="8" t="s">
        <v>83</v>
      </c>
      <c r="L7" s="8" t="s">
        <v>264</v>
      </c>
      <c r="M7" s="8" t="s">
        <v>264</v>
      </c>
      <c r="N7" s="8"/>
    </row>
    <row r="8" spans="1:14">
      <c r="A8" s="8" t="s">
        <v>265</v>
      </c>
      <c r="B8" s="8" t="s">
        <v>183</v>
      </c>
      <c r="C8" s="8" t="s">
        <v>266</v>
      </c>
      <c r="D8" s="8">
        <v>400</v>
      </c>
      <c r="E8" s="8" t="s">
        <v>88</v>
      </c>
      <c r="F8" s="8">
        <v>1</v>
      </c>
      <c r="G8" s="8" t="s">
        <v>267</v>
      </c>
      <c r="H8" s="8" t="s">
        <v>208</v>
      </c>
      <c r="I8" s="8"/>
      <c r="J8" s="8"/>
      <c r="K8" s="8" t="s">
        <v>83</v>
      </c>
      <c r="L8" s="8" t="s">
        <v>116</v>
      </c>
      <c r="M8" s="8" t="s">
        <v>116</v>
      </c>
      <c r="N8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2" width="12" customWidth="1"/>
    <col min="3" max="3" width="13" customWidth="1"/>
  </cols>
  <sheetData>
    <row r="1" spans="1:3" ht="18">
      <c r="A1" s="5" t="s">
        <v>268</v>
      </c>
    </row>
    <row r="2" spans="1:3">
      <c r="A2" s="6" t="s">
        <v>269</v>
      </c>
    </row>
    <row r="4" spans="1:3">
      <c r="A4" s="7" t="s">
        <v>270</v>
      </c>
      <c r="B4" s="7" t="s">
        <v>131</v>
      </c>
      <c r="C4" s="7" t="s">
        <v>271</v>
      </c>
    </row>
    <row r="5" spans="1:3">
      <c r="A5" s="8" t="s">
        <v>248</v>
      </c>
      <c r="B5" s="8" t="s">
        <v>83</v>
      </c>
      <c r="C5" s="8">
        <v>45000</v>
      </c>
    </row>
    <row r="6" spans="1:3">
      <c r="A6" s="8" t="s">
        <v>253</v>
      </c>
      <c r="B6" s="8" t="s">
        <v>93</v>
      </c>
      <c r="C6" s="8">
        <v>4500</v>
      </c>
    </row>
    <row r="7" spans="1:3">
      <c r="A7" s="8" t="s">
        <v>260</v>
      </c>
      <c r="B7" s="8" t="s">
        <v>83</v>
      </c>
      <c r="C7" s="8">
        <v>15000</v>
      </c>
    </row>
    <row r="8" spans="1:3">
      <c r="A8" s="8" t="s">
        <v>260</v>
      </c>
      <c r="B8" s="8" t="s">
        <v>109</v>
      </c>
      <c r="C8" s="8">
        <v>5000</v>
      </c>
    </row>
    <row r="9" spans="1:3">
      <c r="A9" s="8" t="s">
        <v>265</v>
      </c>
      <c r="B9" s="8" t="s">
        <v>83</v>
      </c>
      <c r="C9" s="8">
        <v>400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2" width="12" customWidth="1"/>
    <col min="3" max="3" width="14" customWidth="1"/>
    <col min="4" max="4" width="12" customWidth="1"/>
    <col min="5" max="5" width="13" customWidth="1"/>
  </cols>
  <sheetData>
    <row r="1" spans="1:5" ht="18">
      <c r="A1" s="5" t="s">
        <v>272</v>
      </c>
    </row>
    <row r="2" spans="1:5">
      <c r="A2" s="6" t="s">
        <v>273</v>
      </c>
    </row>
    <row r="4" spans="1:5">
      <c r="A4" s="7" t="s">
        <v>270</v>
      </c>
      <c r="B4" s="7" t="s">
        <v>131</v>
      </c>
      <c r="C4" s="7" t="s">
        <v>274</v>
      </c>
      <c r="D4" s="7" t="s">
        <v>275</v>
      </c>
      <c r="E4" s="7" t="s">
        <v>276</v>
      </c>
    </row>
    <row r="5" spans="1:5">
      <c r="A5" s="8" t="s">
        <v>248</v>
      </c>
      <c r="B5" s="8" t="s">
        <v>83</v>
      </c>
      <c r="C5" s="8">
        <v>15000</v>
      </c>
      <c r="D5" s="8" t="s">
        <v>277</v>
      </c>
      <c r="E5" s="8">
        <v>1</v>
      </c>
    </row>
    <row r="6" spans="1:5">
      <c r="A6" s="8" t="s">
        <v>248</v>
      </c>
      <c r="B6" s="8" t="s">
        <v>102</v>
      </c>
      <c r="C6" s="8">
        <v>15000</v>
      </c>
      <c r="D6" s="8" t="s">
        <v>277</v>
      </c>
      <c r="E6" s="8">
        <v>1</v>
      </c>
    </row>
    <row r="7" spans="1:5">
      <c r="A7" s="8" t="s">
        <v>248</v>
      </c>
      <c r="B7" s="8" t="s">
        <v>117</v>
      </c>
      <c r="C7" s="8">
        <v>15000</v>
      </c>
      <c r="D7" s="8" t="s">
        <v>277</v>
      </c>
      <c r="E7" s="8">
        <v>1</v>
      </c>
    </row>
    <row r="8" spans="1:5">
      <c r="A8" s="8" t="s">
        <v>253</v>
      </c>
      <c r="B8" s="8" t="s">
        <v>83</v>
      </c>
      <c r="C8" s="8">
        <v>900</v>
      </c>
      <c r="D8" s="8" t="s">
        <v>278</v>
      </c>
      <c r="E8" s="8"/>
    </row>
    <row r="9" spans="1:5">
      <c r="A9" s="8" t="s">
        <v>253</v>
      </c>
      <c r="B9" s="8" t="s">
        <v>93</v>
      </c>
      <c r="C9" s="8">
        <v>900</v>
      </c>
      <c r="D9" s="8" t="s">
        <v>278</v>
      </c>
      <c r="E9" s="8"/>
    </row>
    <row r="10" spans="1:5">
      <c r="A10" s="8" t="s">
        <v>253</v>
      </c>
      <c r="B10" s="8" t="s">
        <v>102</v>
      </c>
      <c r="C10" s="8">
        <v>900</v>
      </c>
      <c r="D10" s="8" t="s">
        <v>278</v>
      </c>
      <c r="E10" s="8"/>
    </row>
    <row r="11" spans="1:5">
      <c r="A11" s="8" t="s">
        <v>253</v>
      </c>
      <c r="B11" s="8" t="s">
        <v>109</v>
      </c>
      <c r="C11" s="8">
        <v>900</v>
      </c>
      <c r="D11" s="8" t="s">
        <v>278</v>
      </c>
      <c r="E11" s="8"/>
    </row>
    <row r="12" spans="1:5">
      <c r="A12" s="8" t="s">
        <v>253</v>
      </c>
      <c r="B12" s="8" t="s">
        <v>126</v>
      </c>
      <c r="C12" s="8">
        <v>900</v>
      </c>
      <c r="D12" s="8" t="s">
        <v>278</v>
      </c>
      <c r="E12" s="8"/>
    </row>
    <row r="13" spans="1:5">
      <c r="A13" s="8" t="s">
        <v>260</v>
      </c>
      <c r="B13" s="8" t="s">
        <v>83</v>
      </c>
      <c r="C13" s="8">
        <v>5000</v>
      </c>
      <c r="D13" s="8" t="s">
        <v>277</v>
      </c>
      <c r="E13" s="8">
        <v>1</v>
      </c>
    </row>
    <row r="14" spans="1:5">
      <c r="A14" s="8" t="s">
        <v>260</v>
      </c>
      <c r="B14" s="8" t="s">
        <v>93</v>
      </c>
      <c r="C14" s="8">
        <v>5000</v>
      </c>
      <c r="D14" s="8" t="s">
        <v>277</v>
      </c>
      <c r="E14" s="8">
        <v>1</v>
      </c>
    </row>
    <row r="15" spans="1:5">
      <c r="A15" s="8" t="s">
        <v>260</v>
      </c>
      <c r="B15" s="8" t="s">
        <v>102</v>
      </c>
      <c r="C15" s="8">
        <v>5000</v>
      </c>
      <c r="D15" s="8" t="s">
        <v>277</v>
      </c>
      <c r="E15" s="8">
        <v>1</v>
      </c>
    </row>
    <row r="16" spans="1:5">
      <c r="A16" s="8" t="s">
        <v>260</v>
      </c>
      <c r="B16" s="8" t="s">
        <v>109</v>
      </c>
      <c r="C16" s="8">
        <v>5000</v>
      </c>
      <c r="D16" s="8" t="s">
        <v>277</v>
      </c>
      <c r="E16" s="8">
        <v>1</v>
      </c>
    </row>
    <row r="17" spans="1:5">
      <c r="A17" s="8" t="s">
        <v>265</v>
      </c>
      <c r="B17" s="8" t="s">
        <v>83</v>
      </c>
      <c r="C17" s="8">
        <v>200</v>
      </c>
      <c r="D17" s="8" t="s">
        <v>277</v>
      </c>
      <c r="E17" s="8">
        <v>1</v>
      </c>
    </row>
    <row r="18" spans="1:5">
      <c r="A18" s="8" t="s">
        <v>265</v>
      </c>
      <c r="B18" s="8" t="s">
        <v>93</v>
      </c>
      <c r="C18" s="8">
        <v>200</v>
      </c>
      <c r="D18" s="8" t="s">
        <v>277</v>
      </c>
      <c r="E18" s="8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2" width="12" customWidth="1"/>
    <col min="3" max="3" width="15" customWidth="1"/>
    <col min="4" max="5" width="12" customWidth="1"/>
  </cols>
  <sheetData>
    <row r="1" spans="1:5" ht="18">
      <c r="A1" s="5" t="s">
        <v>279</v>
      </c>
    </row>
    <row r="2" spans="1:5">
      <c r="A2" s="6" t="s">
        <v>280</v>
      </c>
    </row>
    <row r="4" spans="1:5">
      <c r="A4" s="7" t="s">
        <v>70</v>
      </c>
      <c r="B4" s="7" t="s">
        <v>270</v>
      </c>
      <c r="C4" s="7" t="s">
        <v>240</v>
      </c>
      <c r="D4" s="7" t="s">
        <v>241</v>
      </c>
      <c r="E4" s="7" t="s">
        <v>281</v>
      </c>
    </row>
    <row r="5" spans="1:5">
      <c r="A5" s="8" t="s">
        <v>282</v>
      </c>
      <c r="B5" s="8" t="s">
        <v>253</v>
      </c>
      <c r="C5" s="8" t="s">
        <v>283</v>
      </c>
      <c r="D5" s="8">
        <v>800</v>
      </c>
      <c r="E5" s="8">
        <v>2</v>
      </c>
    </row>
    <row r="6" spans="1:5">
      <c r="A6" s="8" t="s">
        <v>284</v>
      </c>
      <c r="B6" s="8" t="s">
        <v>253</v>
      </c>
      <c r="C6" s="8" t="s">
        <v>285</v>
      </c>
      <c r="D6" s="8">
        <v>1200</v>
      </c>
      <c r="E6" s="8">
        <v>1</v>
      </c>
    </row>
    <row r="7" spans="1:5">
      <c r="A7" s="8" t="s">
        <v>286</v>
      </c>
      <c r="B7" s="8" t="s">
        <v>253</v>
      </c>
      <c r="C7" s="8" t="s">
        <v>287</v>
      </c>
      <c r="D7" s="8">
        <v>350</v>
      </c>
      <c r="E7" s="8">
        <v>4</v>
      </c>
    </row>
    <row r="8" spans="1:5">
      <c r="A8" s="8" t="s">
        <v>288</v>
      </c>
      <c r="B8" s="8" t="s">
        <v>253</v>
      </c>
      <c r="C8" s="8" t="s">
        <v>289</v>
      </c>
      <c r="D8" s="8">
        <v>300</v>
      </c>
      <c r="E8" s="8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6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3" width="12" customWidth="1"/>
  </cols>
  <sheetData>
    <row r="1" spans="1:3" ht="18">
      <c r="A1" s="5" t="s">
        <v>290</v>
      </c>
    </row>
    <row r="2" spans="1:3">
      <c r="A2" s="6" t="s">
        <v>291</v>
      </c>
    </row>
    <row r="4" spans="1:3">
      <c r="A4" s="7" t="s">
        <v>292</v>
      </c>
      <c r="B4" s="7" t="s">
        <v>131</v>
      </c>
      <c r="C4" s="7" t="s">
        <v>293</v>
      </c>
    </row>
    <row r="5" spans="1:3">
      <c r="A5" s="8" t="s">
        <v>282</v>
      </c>
      <c r="B5" s="8" t="s">
        <v>83</v>
      </c>
      <c r="C5" s="8">
        <v>1</v>
      </c>
    </row>
    <row r="6" spans="1:3">
      <c r="A6" s="8" t="s">
        <v>282</v>
      </c>
      <c r="B6" s="8" t="s">
        <v>102</v>
      </c>
      <c r="C6" s="8">
        <v>1</v>
      </c>
    </row>
    <row r="7" spans="1:3">
      <c r="A7" s="8" t="s">
        <v>284</v>
      </c>
      <c r="B7" s="8" t="s">
        <v>93</v>
      </c>
      <c r="C7" s="8">
        <v>0.5</v>
      </c>
    </row>
    <row r="8" spans="1:3">
      <c r="A8" s="8" t="s">
        <v>284</v>
      </c>
      <c r="B8" s="8" t="s">
        <v>109</v>
      </c>
      <c r="C8" s="8">
        <v>0.5</v>
      </c>
    </row>
    <row r="9" spans="1:3">
      <c r="A9" s="8" t="s">
        <v>286</v>
      </c>
      <c r="B9" s="8" t="s">
        <v>83</v>
      </c>
      <c r="C9" s="8">
        <v>1</v>
      </c>
    </row>
    <row r="10" spans="1:3">
      <c r="A10" s="8" t="s">
        <v>286</v>
      </c>
      <c r="B10" s="8" t="s">
        <v>102</v>
      </c>
      <c r="C10" s="8">
        <v>2</v>
      </c>
    </row>
    <row r="11" spans="1:3">
      <c r="A11" s="8" t="s">
        <v>286</v>
      </c>
      <c r="B11" s="8" t="s">
        <v>126</v>
      </c>
      <c r="C11" s="8">
        <v>1</v>
      </c>
    </row>
    <row r="12" spans="1:3">
      <c r="A12" s="8" t="s">
        <v>288</v>
      </c>
      <c r="B12" s="8" t="s">
        <v>83</v>
      </c>
      <c r="C12" s="8">
        <v>0.2</v>
      </c>
    </row>
    <row r="13" spans="1:3">
      <c r="A13" s="8" t="s">
        <v>288</v>
      </c>
      <c r="B13" s="8" t="s">
        <v>93</v>
      </c>
      <c r="C13" s="8">
        <v>0.2</v>
      </c>
    </row>
    <row r="14" spans="1:3">
      <c r="A14" s="8" t="s">
        <v>288</v>
      </c>
      <c r="B14" s="8" t="s">
        <v>102</v>
      </c>
      <c r="C14" s="8">
        <v>0.2</v>
      </c>
    </row>
    <row r="15" spans="1:3">
      <c r="A15" s="8" t="s">
        <v>288</v>
      </c>
      <c r="B15" s="8" t="s">
        <v>109</v>
      </c>
      <c r="C15" s="8">
        <v>0.2</v>
      </c>
    </row>
    <row r="16" spans="1:3">
      <c r="A16" s="8" t="s">
        <v>288</v>
      </c>
      <c r="B16" s="8" t="s">
        <v>126</v>
      </c>
      <c r="C16" s="8">
        <v>0.2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4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2" width="12" customWidth="1"/>
    <col min="3" max="3" width="13" customWidth="1"/>
    <col min="4" max="5" width="12" customWidth="1"/>
    <col min="6" max="6" width="15" customWidth="1"/>
    <col min="7" max="7" width="16" customWidth="1"/>
    <col min="8" max="9" width="12" customWidth="1"/>
    <col min="10" max="10" width="17" customWidth="1"/>
    <col min="11" max="11" width="21" customWidth="1"/>
  </cols>
  <sheetData>
    <row r="1" spans="1:11" ht="18">
      <c r="A1" s="5" t="s">
        <v>294</v>
      </c>
    </row>
    <row r="2" spans="1:11">
      <c r="A2" s="6" t="s">
        <v>295</v>
      </c>
    </row>
    <row r="4" spans="1:11">
      <c r="A4" s="7" t="s">
        <v>70</v>
      </c>
      <c r="B4" s="7" t="s">
        <v>296</v>
      </c>
      <c r="C4" s="7" t="s">
        <v>297</v>
      </c>
      <c r="D4" s="7" t="s">
        <v>298</v>
      </c>
      <c r="E4" s="7" t="s">
        <v>190</v>
      </c>
      <c r="F4" s="7" t="s">
        <v>299</v>
      </c>
      <c r="G4" s="7" t="s">
        <v>300</v>
      </c>
      <c r="H4" s="7" t="s">
        <v>241</v>
      </c>
      <c r="I4" s="7" t="s">
        <v>242</v>
      </c>
      <c r="J4" s="7" t="s">
        <v>243</v>
      </c>
      <c r="K4" s="7" t="s">
        <v>80</v>
      </c>
    </row>
    <row r="5" spans="1:11">
      <c r="A5" s="8" t="s">
        <v>301</v>
      </c>
      <c r="B5" s="8" t="s">
        <v>302</v>
      </c>
      <c r="C5" s="8" t="s">
        <v>303</v>
      </c>
      <c r="D5" s="8" t="s">
        <v>248</v>
      </c>
      <c r="E5" s="8" t="s">
        <v>173</v>
      </c>
      <c r="F5" s="8" t="s">
        <v>83</v>
      </c>
      <c r="G5" s="8" t="s">
        <v>102</v>
      </c>
      <c r="H5" s="8">
        <v>15000</v>
      </c>
      <c r="I5" s="8" t="s">
        <v>88</v>
      </c>
      <c r="J5" s="8">
        <v>1</v>
      </c>
      <c r="K5" s="8" t="s">
        <v>252</v>
      </c>
    </row>
    <row r="6" spans="1:11">
      <c r="A6" s="8" t="s">
        <v>304</v>
      </c>
      <c r="B6" s="8" t="s">
        <v>302</v>
      </c>
      <c r="C6" s="8" t="s">
        <v>303</v>
      </c>
      <c r="D6" s="8" t="s">
        <v>248</v>
      </c>
      <c r="E6" s="8" t="s">
        <v>173</v>
      </c>
      <c r="F6" s="8" t="s">
        <v>83</v>
      </c>
      <c r="G6" s="8" t="s">
        <v>117</v>
      </c>
      <c r="H6" s="8">
        <v>15000</v>
      </c>
      <c r="I6" s="8" t="s">
        <v>88</v>
      </c>
      <c r="J6" s="8">
        <v>1</v>
      </c>
      <c r="K6" s="8" t="s">
        <v>252</v>
      </c>
    </row>
    <row r="7" spans="1:11">
      <c r="A7" s="8" t="s">
        <v>305</v>
      </c>
      <c r="B7" s="8" t="s">
        <v>306</v>
      </c>
      <c r="C7" s="8" t="s">
        <v>303</v>
      </c>
      <c r="D7" s="8" t="s">
        <v>253</v>
      </c>
      <c r="E7" s="8" t="s">
        <v>178</v>
      </c>
      <c r="F7" s="8" t="s">
        <v>93</v>
      </c>
      <c r="G7" s="8" t="s">
        <v>83</v>
      </c>
      <c r="H7" s="8">
        <v>900</v>
      </c>
      <c r="I7" s="8" t="s">
        <v>88</v>
      </c>
      <c r="J7" s="8">
        <v>1</v>
      </c>
      <c r="K7" s="8" t="s">
        <v>258</v>
      </c>
    </row>
    <row r="8" spans="1:11">
      <c r="A8" s="8" t="s">
        <v>307</v>
      </c>
      <c r="B8" s="8" t="s">
        <v>306</v>
      </c>
      <c r="C8" s="8" t="s">
        <v>303</v>
      </c>
      <c r="D8" s="8" t="s">
        <v>253</v>
      </c>
      <c r="E8" s="8" t="s">
        <v>178</v>
      </c>
      <c r="F8" s="8" t="s">
        <v>93</v>
      </c>
      <c r="G8" s="8" t="s">
        <v>102</v>
      </c>
      <c r="H8" s="8">
        <v>900</v>
      </c>
      <c r="I8" s="8" t="s">
        <v>88</v>
      </c>
      <c r="J8" s="8">
        <v>1</v>
      </c>
      <c r="K8" s="8" t="s">
        <v>258</v>
      </c>
    </row>
    <row r="9" spans="1:11">
      <c r="A9" s="8" t="s">
        <v>308</v>
      </c>
      <c r="B9" s="8" t="s">
        <v>306</v>
      </c>
      <c r="C9" s="8" t="s">
        <v>303</v>
      </c>
      <c r="D9" s="8" t="s">
        <v>253</v>
      </c>
      <c r="E9" s="8" t="s">
        <v>178</v>
      </c>
      <c r="F9" s="8" t="s">
        <v>93</v>
      </c>
      <c r="G9" s="8" t="s">
        <v>109</v>
      </c>
      <c r="H9" s="8">
        <v>900</v>
      </c>
      <c r="I9" s="8" t="s">
        <v>88</v>
      </c>
      <c r="J9" s="8">
        <v>1</v>
      </c>
      <c r="K9" s="8" t="s">
        <v>258</v>
      </c>
    </row>
    <row r="10" spans="1:11">
      <c r="A10" s="8" t="s">
        <v>309</v>
      </c>
      <c r="B10" s="8" t="s">
        <v>306</v>
      </c>
      <c r="C10" s="8" t="s">
        <v>303</v>
      </c>
      <c r="D10" s="8" t="s">
        <v>253</v>
      </c>
      <c r="E10" s="8" t="s">
        <v>178</v>
      </c>
      <c r="F10" s="8" t="s">
        <v>93</v>
      </c>
      <c r="G10" s="8" t="s">
        <v>126</v>
      </c>
      <c r="H10" s="8">
        <v>900</v>
      </c>
      <c r="I10" s="8" t="s">
        <v>88</v>
      </c>
      <c r="J10" s="8">
        <v>1</v>
      </c>
      <c r="K10" s="8" t="s">
        <v>258</v>
      </c>
    </row>
    <row r="11" spans="1:11">
      <c r="A11" s="8" t="s">
        <v>310</v>
      </c>
      <c r="B11" s="8" t="s">
        <v>311</v>
      </c>
      <c r="C11" s="8" t="s">
        <v>303</v>
      </c>
      <c r="D11" s="8" t="s">
        <v>260</v>
      </c>
      <c r="E11" s="8" t="s">
        <v>178</v>
      </c>
      <c r="F11" s="8" t="s">
        <v>83</v>
      </c>
      <c r="G11" s="8" t="s">
        <v>93</v>
      </c>
      <c r="H11" s="8">
        <v>5000</v>
      </c>
      <c r="I11" s="8" t="s">
        <v>88</v>
      </c>
      <c r="J11" s="8">
        <v>1</v>
      </c>
      <c r="K11" s="8" t="s">
        <v>264</v>
      </c>
    </row>
    <row r="12" spans="1:11">
      <c r="A12" s="8" t="s">
        <v>312</v>
      </c>
      <c r="B12" s="8" t="s">
        <v>311</v>
      </c>
      <c r="C12" s="8" t="s">
        <v>303</v>
      </c>
      <c r="D12" s="8" t="s">
        <v>260</v>
      </c>
      <c r="E12" s="8" t="s">
        <v>178</v>
      </c>
      <c r="F12" s="8" t="s">
        <v>83</v>
      </c>
      <c r="G12" s="8" t="s">
        <v>102</v>
      </c>
      <c r="H12" s="8">
        <v>5000</v>
      </c>
      <c r="I12" s="8" t="s">
        <v>88</v>
      </c>
      <c r="J12" s="8">
        <v>1</v>
      </c>
      <c r="K12" s="8" t="s">
        <v>264</v>
      </c>
    </row>
    <row r="13" spans="1:11">
      <c r="A13" s="8" t="s">
        <v>313</v>
      </c>
      <c r="B13" s="8" t="s">
        <v>314</v>
      </c>
      <c r="C13" s="8" t="s">
        <v>303</v>
      </c>
      <c r="D13" s="8" t="s">
        <v>265</v>
      </c>
      <c r="E13" s="8" t="s">
        <v>183</v>
      </c>
      <c r="F13" s="8" t="s">
        <v>83</v>
      </c>
      <c r="G13" s="8" t="s">
        <v>93</v>
      </c>
      <c r="H13" s="8">
        <v>200</v>
      </c>
      <c r="I13" s="8" t="s">
        <v>88</v>
      </c>
      <c r="J13" s="8">
        <v>1</v>
      </c>
      <c r="K13" s="8" t="s">
        <v>116</v>
      </c>
    </row>
    <row r="14" spans="1:11">
      <c r="A14" s="8" t="s">
        <v>315</v>
      </c>
      <c r="B14" s="8" t="s">
        <v>316</v>
      </c>
      <c r="C14" s="8" t="s">
        <v>317</v>
      </c>
      <c r="D14" s="8" t="s">
        <v>318</v>
      </c>
      <c r="E14" s="8" t="s">
        <v>173</v>
      </c>
      <c r="F14" s="8" t="s">
        <v>102</v>
      </c>
      <c r="G14" s="8" t="s">
        <v>83</v>
      </c>
      <c r="H14" s="8">
        <v>15000</v>
      </c>
      <c r="I14" s="8" t="s">
        <v>88</v>
      </c>
      <c r="J14" s="8">
        <v>1</v>
      </c>
      <c r="K14" s="8" t="s">
        <v>319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6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6" width="12" customWidth="1"/>
    <col min="7" max="7" width="14" customWidth="1"/>
    <col min="8" max="8" width="13" customWidth="1"/>
    <col min="9" max="9" width="18" customWidth="1"/>
    <col min="10" max="10" width="17" customWidth="1"/>
    <col min="11" max="11" width="12" customWidth="1"/>
    <col min="12" max="13" width="21" customWidth="1"/>
    <col min="14" max="14" width="37" customWidth="1"/>
  </cols>
  <sheetData>
    <row r="1" spans="1:14" ht="18">
      <c r="A1" s="5" t="s">
        <v>320</v>
      </c>
    </row>
    <row r="2" spans="1:14">
      <c r="A2" s="6" t="s">
        <v>321</v>
      </c>
    </row>
    <row r="4" spans="1:14">
      <c r="A4" s="7" t="s">
        <v>70</v>
      </c>
      <c r="B4" s="7" t="s">
        <v>322</v>
      </c>
      <c r="C4" s="7" t="s">
        <v>323</v>
      </c>
      <c r="D4" s="7" t="s">
        <v>190</v>
      </c>
      <c r="E4" s="7" t="s">
        <v>241</v>
      </c>
      <c r="F4" s="7" t="s">
        <v>242</v>
      </c>
      <c r="G4" s="7" t="s">
        <v>324</v>
      </c>
      <c r="H4" s="7" t="s">
        <v>325</v>
      </c>
      <c r="I4" s="7" t="s">
        <v>326</v>
      </c>
      <c r="J4" s="7" t="s">
        <v>327</v>
      </c>
      <c r="K4" s="7" t="s">
        <v>328</v>
      </c>
      <c r="L4" s="7" t="s">
        <v>329</v>
      </c>
      <c r="M4" s="7" t="s">
        <v>330</v>
      </c>
      <c r="N4" s="7" t="s">
        <v>331</v>
      </c>
    </row>
    <row r="5" spans="1:14">
      <c r="A5" s="8" t="s">
        <v>318</v>
      </c>
      <c r="B5" s="8" t="s">
        <v>102</v>
      </c>
      <c r="C5" s="8" t="s">
        <v>83</v>
      </c>
      <c r="D5" s="8" t="s">
        <v>173</v>
      </c>
      <c r="E5" s="8">
        <v>15000</v>
      </c>
      <c r="F5" s="8" t="s">
        <v>88</v>
      </c>
      <c r="G5" s="8" t="s">
        <v>332</v>
      </c>
      <c r="H5" s="8"/>
      <c r="I5" s="8" t="s">
        <v>333</v>
      </c>
      <c r="J5" s="8" t="s">
        <v>334</v>
      </c>
      <c r="K5" s="8" t="s">
        <v>335</v>
      </c>
      <c r="L5" s="8" t="s">
        <v>336</v>
      </c>
      <c r="M5" s="8" t="s">
        <v>319</v>
      </c>
      <c r="N5" s="8" t="s">
        <v>337</v>
      </c>
    </row>
    <row r="6" spans="1:14">
      <c r="A6" s="8" t="s">
        <v>338</v>
      </c>
      <c r="B6" s="8" t="s">
        <v>117</v>
      </c>
      <c r="C6" s="8" t="s">
        <v>83</v>
      </c>
      <c r="D6" s="8" t="s">
        <v>173</v>
      </c>
      <c r="E6" s="8">
        <v>5000</v>
      </c>
      <c r="F6" s="8" t="s">
        <v>88</v>
      </c>
      <c r="G6" s="8" t="s">
        <v>339</v>
      </c>
      <c r="H6" s="8" t="s">
        <v>340</v>
      </c>
      <c r="I6" s="8" t="s">
        <v>341</v>
      </c>
      <c r="J6" s="8" t="s">
        <v>342</v>
      </c>
      <c r="K6" s="8" t="s">
        <v>343</v>
      </c>
      <c r="L6" s="8" t="s">
        <v>344</v>
      </c>
      <c r="M6" s="8"/>
      <c r="N6" s="8" t="s">
        <v>345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2" width="12" customWidth="1"/>
    <col min="3" max="3" width="27" customWidth="1"/>
    <col min="4" max="6" width="12" customWidth="1"/>
    <col min="7" max="7" width="14" customWidth="1"/>
    <col min="8" max="8" width="50" customWidth="1"/>
    <col min="9" max="9" width="12" customWidth="1"/>
    <col min="10" max="10" width="21" customWidth="1"/>
  </cols>
  <sheetData>
    <row r="1" spans="1:10" ht="18">
      <c r="A1" s="5" t="s">
        <v>346</v>
      </c>
    </row>
    <row r="2" spans="1:10">
      <c r="A2" s="6" t="s">
        <v>347</v>
      </c>
    </row>
    <row r="4" spans="1:10">
      <c r="A4" s="7" t="s">
        <v>70</v>
      </c>
      <c r="B4" s="7" t="s">
        <v>270</v>
      </c>
      <c r="C4" s="7" t="s">
        <v>348</v>
      </c>
      <c r="D4" s="7" t="s">
        <v>349</v>
      </c>
      <c r="E4" s="7" t="s">
        <v>350</v>
      </c>
      <c r="F4" s="7" t="s">
        <v>351</v>
      </c>
      <c r="G4" s="7" t="s">
        <v>352</v>
      </c>
      <c r="H4" s="7" t="s">
        <v>353</v>
      </c>
      <c r="I4" s="7" t="s">
        <v>172</v>
      </c>
      <c r="J4" s="7" t="s">
        <v>80</v>
      </c>
    </row>
    <row r="5" spans="1:10" ht="63.75">
      <c r="A5" s="8" t="s">
        <v>257</v>
      </c>
      <c r="B5" s="8" t="s">
        <v>253</v>
      </c>
      <c r="C5" s="8" t="s">
        <v>354</v>
      </c>
      <c r="D5" s="8" t="s">
        <v>355</v>
      </c>
      <c r="E5" s="8">
        <v>1245678</v>
      </c>
      <c r="F5" s="8" t="s">
        <v>356</v>
      </c>
      <c r="G5" s="8" t="s">
        <v>357</v>
      </c>
      <c r="H5" s="8" t="s">
        <v>358</v>
      </c>
      <c r="I5" s="8" t="s">
        <v>93</v>
      </c>
      <c r="J5" s="8" t="s">
        <v>359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3" width="12" customWidth="1"/>
    <col min="4" max="4" width="38" customWidth="1"/>
    <col min="5" max="5" width="13" customWidth="1"/>
    <col min="6" max="7" width="16" customWidth="1"/>
    <col min="8" max="8" width="31" customWidth="1"/>
    <col min="9" max="9" width="21" customWidth="1"/>
    <col min="10" max="11" width="12" customWidth="1"/>
  </cols>
  <sheetData>
    <row r="1" spans="1:11" ht="18">
      <c r="A1" s="5" t="s">
        <v>360</v>
      </c>
    </row>
    <row r="2" spans="1:11">
      <c r="A2" s="6" t="s">
        <v>361</v>
      </c>
    </row>
    <row r="4" spans="1:11">
      <c r="A4" s="7" t="s">
        <v>70</v>
      </c>
      <c r="B4" s="7" t="s">
        <v>190</v>
      </c>
      <c r="C4" s="7" t="s">
        <v>362</v>
      </c>
      <c r="D4" s="7" t="s">
        <v>363</v>
      </c>
      <c r="E4" s="7" t="s">
        <v>364</v>
      </c>
      <c r="F4" s="7" t="s">
        <v>365</v>
      </c>
      <c r="G4" s="7" t="s">
        <v>366</v>
      </c>
      <c r="H4" s="7" t="s">
        <v>367</v>
      </c>
      <c r="I4" s="7" t="s">
        <v>80</v>
      </c>
      <c r="J4" s="7" t="s">
        <v>368</v>
      </c>
      <c r="K4" s="7" t="s">
        <v>82</v>
      </c>
    </row>
    <row r="5" spans="1:11">
      <c r="A5" s="8" t="s">
        <v>369</v>
      </c>
      <c r="B5" s="8" t="s">
        <v>173</v>
      </c>
      <c r="C5" s="8" t="s">
        <v>83</v>
      </c>
      <c r="D5" s="8" t="s">
        <v>370</v>
      </c>
      <c r="E5" s="8"/>
      <c r="F5" s="8"/>
      <c r="G5" s="8" t="s">
        <v>248</v>
      </c>
      <c r="H5" s="8" t="s">
        <v>371</v>
      </c>
      <c r="I5" s="8" t="s">
        <v>372</v>
      </c>
      <c r="J5" s="8"/>
      <c r="K5" s="8"/>
    </row>
    <row r="6" spans="1:11">
      <c r="A6" s="8" t="s">
        <v>373</v>
      </c>
      <c r="B6" s="8" t="s">
        <v>173</v>
      </c>
      <c r="C6" s="8" t="s">
        <v>102</v>
      </c>
      <c r="D6" s="8" t="s">
        <v>374</v>
      </c>
      <c r="E6" s="8" t="s">
        <v>369</v>
      </c>
      <c r="F6" s="8"/>
      <c r="G6" s="8"/>
      <c r="H6" s="8" t="s">
        <v>375</v>
      </c>
      <c r="I6" s="8" t="s">
        <v>376</v>
      </c>
      <c r="J6" s="8"/>
      <c r="K6" s="8"/>
    </row>
    <row r="7" spans="1:11">
      <c r="A7" s="8" t="s">
        <v>377</v>
      </c>
      <c r="B7" s="8" t="s">
        <v>178</v>
      </c>
      <c r="C7" s="8" t="s">
        <v>93</v>
      </c>
      <c r="D7" s="8" t="s">
        <v>378</v>
      </c>
      <c r="E7" s="8"/>
      <c r="F7" s="8"/>
      <c r="G7" s="8" t="s">
        <v>253</v>
      </c>
      <c r="H7" s="8" t="s">
        <v>379</v>
      </c>
      <c r="I7" s="8" t="s">
        <v>380</v>
      </c>
      <c r="J7" s="8"/>
      <c r="K7" s="8"/>
    </row>
    <row r="8" spans="1:11">
      <c r="A8" s="8" t="s">
        <v>381</v>
      </c>
      <c r="B8" s="8" t="s">
        <v>178</v>
      </c>
      <c r="C8" s="8" t="s">
        <v>83</v>
      </c>
      <c r="D8" s="8" t="s">
        <v>382</v>
      </c>
      <c r="E8" s="8"/>
      <c r="F8" s="8"/>
      <c r="G8" s="8"/>
      <c r="H8" s="8" t="s">
        <v>375</v>
      </c>
      <c r="I8" s="8" t="s">
        <v>383</v>
      </c>
      <c r="J8" s="8"/>
      <c r="K8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6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12" customWidth="1"/>
    <col min="2" max="2" width="13" customWidth="1"/>
    <col min="3" max="4" width="12" customWidth="1"/>
    <col min="5" max="5" width="41" customWidth="1"/>
    <col min="6" max="6" width="21" customWidth="1"/>
  </cols>
  <sheetData>
    <row r="1" spans="1:6" ht="18">
      <c r="A1" s="5" t="s">
        <v>384</v>
      </c>
    </row>
    <row r="2" spans="1:6">
      <c r="A2" s="6" t="s">
        <v>385</v>
      </c>
    </row>
    <row r="4" spans="1:6">
      <c r="A4" s="7" t="s">
        <v>70</v>
      </c>
      <c r="B4" s="7" t="s">
        <v>386</v>
      </c>
      <c r="C4" s="7" t="s">
        <v>387</v>
      </c>
      <c r="D4" s="7" t="s">
        <v>131</v>
      </c>
      <c r="E4" s="7" t="s">
        <v>363</v>
      </c>
      <c r="F4" s="7" t="s">
        <v>80</v>
      </c>
    </row>
    <row r="5" spans="1:6">
      <c r="A5" s="8" t="s">
        <v>388</v>
      </c>
      <c r="B5" s="8" t="s">
        <v>303</v>
      </c>
      <c r="C5" s="8" t="s">
        <v>260</v>
      </c>
      <c r="D5" s="8" t="s">
        <v>93</v>
      </c>
      <c r="E5" s="8" t="s">
        <v>389</v>
      </c>
      <c r="F5" s="8" t="s">
        <v>390</v>
      </c>
    </row>
    <row r="6" spans="1:6">
      <c r="A6" s="8" t="s">
        <v>391</v>
      </c>
      <c r="B6" s="8" t="s">
        <v>303</v>
      </c>
      <c r="C6" s="8" t="s">
        <v>260</v>
      </c>
      <c r="D6" s="8" t="s">
        <v>83</v>
      </c>
      <c r="E6" s="8" t="s">
        <v>392</v>
      </c>
      <c r="F6" s="8" t="s">
        <v>393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2" width="12" customWidth="1"/>
    <col min="3" max="3" width="21" customWidth="1"/>
    <col min="4" max="4" width="50" customWidth="1"/>
    <col min="5" max="6" width="21" customWidth="1"/>
  </cols>
  <sheetData>
    <row r="1" spans="1:6" ht="18">
      <c r="A1" s="5" t="s">
        <v>394</v>
      </c>
    </row>
    <row r="2" spans="1:6">
      <c r="A2" s="6" t="s">
        <v>395</v>
      </c>
    </row>
    <row r="4" spans="1:6">
      <c r="A4" s="7" t="s">
        <v>70</v>
      </c>
      <c r="B4" s="7" t="s">
        <v>131</v>
      </c>
      <c r="C4" s="7" t="s">
        <v>169</v>
      </c>
      <c r="D4" s="7" t="s">
        <v>396</v>
      </c>
      <c r="E4" s="7" t="s">
        <v>397</v>
      </c>
      <c r="F4" s="7" t="s">
        <v>80</v>
      </c>
    </row>
    <row r="5" spans="1:6" ht="25.5">
      <c r="A5" s="8" t="s">
        <v>398</v>
      </c>
      <c r="B5" s="8" t="s">
        <v>102</v>
      </c>
      <c r="C5" s="8" t="s">
        <v>399</v>
      </c>
      <c r="D5" s="8" t="s">
        <v>400</v>
      </c>
      <c r="E5" s="8" t="s">
        <v>177</v>
      </c>
      <c r="F5" s="8" t="s">
        <v>401</v>
      </c>
    </row>
    <row r="6" spans="1:6" ht="25.5">
      <c r="A6" s="8" t="s">
        <v>402</v>
      </c>
      <c r="B6" s="8" t="s">
        <v>117</v>
      </c>
      <c r="C6" s="8" t="s">
        <v>399</v>
      </c>
      <c r="D6" s="8" t="s">
        <v>400</v>
      </c>
      <c r="E6" s="8"/>
      <c r="F6" s="8" t="s">
        <v>401</v>
      </c>
    </row>
    <row r="7" spans="1:6">
      <c r="A7" s="8" t="s">
        <v>403</v>
      </c>
      <c r="B7" s="8" t="s">
        <v>83</v>
      </c>
      <c r="C7" s="8" t="s">
        <v>404</v>
      </c>
      <c r="D7" s="8" t="s">
        <v>405</v>
      </c>
      <c r="E7" s="8" t="s">
        <v>406</v>
      </c>
      <c r="F7" s="8" t="s">
        <v>407</v>
      </c>
    </row>
    <row r="8" spans="1:6">
      <c r="A8" s="8" t="s">
        <v>408</v>
      </c>
      <c r="B8" s="8" t="s">
        <v>117</v>
      </c>
      <c r="C8" s="8" t="s">
        <v>409</v>
      </c>
      <c r="D8" s="8" t="s">
        <v>410</v>
      </c>
      <c r="E8" s="8"/>
      <c r="F8" s="8" t="s">
        <v>411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2" width="12" customWidth="1"/>
    <col min="3" max="3" width="13" customWidth="1"/>
    <col min="4" max="5" width="12" customWidth="1"/>
    <col min="6" max="6" width="32" customWidth="1"/>
    <col min="7" max="7" width="46" customWidth="1"/>
    <col min="8" max="8" width="21" customWidth="1"/>
  </cols>
  <sheetData>
    <row r="1" spans="1:8" ht="18">
      <c r="A1" s="5" t="s">
        <v>412</v>
      </c>
    </row>
    <row r="2" spans="1:8">
      <c r="A2" s="6" t="s">
        <v>413</v>
      </c>
    </row>
    <row r="4" spans="1:8">
      <c r="A4" s="7" t="s">
        <v>70</v>
      </c>
      <c r="B4" s="7" t="s">
        <v>414</v>
      </c>
      <c r="C4" s="7" t="s">
        <v>415</v>
      </c>
      <c r="D4" s="7" t="s">
        <v>416</v>
      </c>
      <c r="E4" s="7" t="s">
        <v>417</v>
      </c>
      <c r="F4" s="7" t="s">
        <v>418</v>
      </c>
      <c r="G4" s="7" t="s">
        <v>419</v>
      </c>
      <c r="H4" s="7" t="s">
        <v>80</v>
      </c>
    </row>
    <row r="5" spans="1:8">
      <c r="A5" s="8">
        <v>1</v>
      </c>
      <c r="B5" s="8" t="s">
        <v>83</v>
      </c>
      <c r="C5" s="8" t="s">
        <v>303</v>
      </c>
      <c r="D5" s="8" t="s">
        <v>248</v>
      </c>
      <c r="E5" s="8" t="s">
        <v>420</v>
      </c>
      <c r="F5" s="8"/>
      <c r="G5" s="8" t="s">
        <v>421</v>
      </c>
      <c r="H5" s="8" t="s">
        <v>252</v>
      </c>
    </row>
    <row r="6" spans="1:8">
      <c r="A6" s="8">
        <v>2</v>
      </c>
      <c r="B6" s="8" t="s">
        <v>93</v>
      </c>
      <c r="C6" s="8" t="s">
        <v>303</v>
      </c>
      <c r="D6" s="8" t="s">
        <v>253</v>
      </c>
      <c r="E6" s="8" t="s">
        <v>420</v>
      </c>
      <c r="F6" s="8"/>
      <c r="G6" s="8" t="s">
        <v>422</v>
      </c>
      <c r="H6" s="8" t="s">
        <v>258</v>
      </c>
    </row>
    <row r="7" spans="1:8">
      <c r="A7" s="8">
        <v>3</v>
      </c>
      <c r="B7" s="8" t="s">
        <v>93</v>
      </c>
      <c r="C7" s="8" t="s">
        <v>303</v>
      </c>
      <c r="D7" s="8" t="s">
        <v>253</v>
      </c>
      <c r="E7" s="8" t="s">
        <v>423</v>
      </c>
      <c r="F7" s="8" t="s">
        <v>424</v>
      </c>
      <c r="G7" s="8" t="s">
        <v>425</v>
      </c>
      <c r="H7" s="8" t="s">
        <v>259</v>
      </c>
    </row>
    <row r="8" spans="1:8">
      <c r="A8" s="8">
        <v>4</v>
      </c>
      <c r="B8" s="8" t="s">
        <v>102</v>
      </c>
      <c r="C8" s="8" t="s">
        <v>317</v>
      </c>
      <c r="D8" s="8" t="s">
        <v>318</v>
      </c>
      <c r="E8" s="8" t="s">
        <v>420</v>
      </c>
      <c r="F8" s="8"/>
      <c r="G8" s="8" t="s">
        <v>426</v>
      </c>
      <c r="H8" s="8" t="s">
        <v>336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0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3" width="12" customWidth="1"/>
    <col min="4" max="4" width="21" customWidth="1"/>
  </cols>
  <sheetData>
    <row r="1" spans="1:4" ht="18">
      <c r="A1" s="5" t="s">
        <v>427</v>
      </c>
    </row>
    <row r="2" spans="1:4">
      <c r="A2" s="6" t="s">
        <v>428</v>
      </c>
    </row>
    <row r="4" spans="1:4">
      <c r="A4" s="7" t="s">
        <v>429</v>
      </c>
      <c r="B4" s="7" t="s">
        <v>430</v>
      </c>
      <c r="C4" s="7" t="s">
        <v>431</v>
      </c>
      <c r="D4" s="7" t="s">
        <v>432</v>
      </c>
    </row>
    <row r="5" spans="1:4">
      <c r="A5" s="8" t="s">
        <v>88</v>
      </c>
      <c r="B5" s="8" t="s">
        <v>433</v>
      </c>
      <c r="C5" s="8">
        <v>1.2E-2</v>
      </c>
      <c r="D5" s="8" t="s">
        <v>434</v>
      </c>
    </row>
    <row r="6" spans="1:4">
      <c r="A6" s="8" t="s">
        <v>433</v>
      </c>
      <c r="B6" s="8" t="s">
        <v>88</v>
      </c>
      <c r="C6" s="8">
        <v>83.45</v>
      </c>
      <c r="D6" s="8" t="s">
        <v>434</v>
      </c>
    </row>
    <row r="7" spans="1:4">
      <c r="A7" s="8" t="s">
        <v>88</v>
      </c>
      <c r="B7" s="8" t="s">
        <v>435</v>
      </c>
      <c r="C7" s="8">
        <v>1.0999999999999999E-2</v>
      </c>
      <c r="D7" s="8" t="s">
        <v>434</v>
      </c>
    </row>
    <row r="8" spans="1:4">
      <c r="A8" s="8" t="s">
        <v>435</v>
      </c>
      <c r="B8" s="8" t="s">
        <v>88</v>
      </c>
      <c r="C8" s="8">
        <v>90.2</v>
      </c>
      <c r="D8" s="8" t="s">
        <v>434</v>
      </c>
    </row>
    <row r="9" spans="1:4">
      <c r="A9" s="8" t="s">
        <v>88</v>
      </c>
      <c r="B9" s="8" t="s">
        <v>436</v>
      </c>
      <c r="C9" s="8">
        <v>9.4999999999999998E-3</v>
      </c>
      <c r="D9" s="8" t="s">
        <v>434</v>
      </c>
    </row>
    <row r="10" spans="1:4">
      <c r="A10" s="8" t="s">
        <v>436</v>
      </c>
      <c r="B10" s="8" t="s">
        <v>88</v>
      </c>
      <c r="C10" s="8">
        <v>105.3</v>
      </c>
      <c r="D10" s="8" t="s">
        <v>434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6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2" width="12" customWidth="1"/>
    <col min="3" max="3" width="50" customWidth="1"/>
    <col min="4" max="4" width="15" customWidth="1"/>
    <col min="5" max="5" width="21" customWidth="1"/>
    <col min="6" max="7" width="12" customWidth="1"/>
  </cols>
  <sheetData>
    <row r="1" spans="1:7" ht="18">
      <c r="A1" s="5" t="s">
        <v>437</v>
      </c>
    </row>
    <row r="2" spans="1:7">
      <c r="A2" s="6" t="s">
        <v>438</v>
      </c>
    </row>
    <row r="4" spans="1:7">
      <c r="A4" s="7" t="s">
        <v>70</v>
      </c>
      <c r="B4" s="7" t="s">
        <v>190</v>
      </c>
      <c r="C4" s="7" t="s">
        <v>439</v>
      </c>
      <c r="D4" s="7" t="s">
        <v>440</v>
      </c>
      <c r="E4" s="7" t="s">
        <v>441</v>
      </c>
      <c r="F4" s="7" t="s">
        <v>442</v>
      </c>
      <c r="G4" s="7" t="s">
        <v>172</v>
      </c>
    </row>
    <row r="5" spans="1:7" ht="51">
      <c r="A5" s="8" t="s">
        <v>443</v>
      </c>
      <c r="B5" s="8" t="s">
        <v>173</v>
      </c>
      <c r="C5" s="8" t="s">
        <v>444</v>
      </c>
      <c r="D5" s="8" t="s">
        <v>445</v>
      </c>
      <c r="E5" s="8" t="s">
        <v>446</v>
      </c>
      <c r="F5" s="8" t="b">
        <f>TRUE()</f>
        <v>1</v>
      </c>
      <c r="G5" s="8" t="s">
        <v>83</v>
      </c>
    </row>
    <row r="6" spans="1:7" ht="38.25">
      <c r="A6" s="8" t="s">
        <v>447</v>
      </c>
      <c r="B6" s="8" t="s">
        <v>173</v>
      </c>
      <c r="C6" s="8" t="s">
        <v>448</v>
      </c>
      <c r="D6" s="8" t="s">
        <v>449</v>
      </c>
      <c r="E6" s="8" t="s">
        <v>450</v>
      </c>
      <c r="F6" s="8" t="b">
        <f>TRUE()</f>
        <v>1</v>
      </c>
      <c r="G6" s="8" t="s">
        <v>102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6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4" width="12" customWidth="1"/>
    <col min="5" max="6" width="21" customWidth="1"/>
    <col min="7" max="7" width="12" customWidth="1"/>
    <col min="8" max="8" width="18" customWidth="1"/>
  </cols>
  <sheetData>
    <row r="1" spans="1:8" ht="18">
      <c r="A1" s="5" t="s">
        <v>451</v>
      </c>
    </row>
    <row r="2" spans="1:8">
      <c r="A2" s="6" t="s">
        <v>452</v>
      </c>
    </row>
    <row r="4" spans="1:8">
      <c r="A4" s="7" t="s">
        <v>70</v>
      </c>
      <c r="B4" s="7" t="s">
        <v>131</v>
      </c>
      <c r="C4" s="7" t="s">
        <v>453</v>
      </c>
      <c r="D4" s="7" t="s">
        <v>328</v>
      </c>
      <c r="E4" s="7" t="s">
        <v>454</v>
      </c>
      <c r="F4" s="7" t="s">
        <v>455</v>
      </c>
      <c r="G4" s="7" t="s">
        <v>456</v>
      </c>
      <c r="H4" s="7" t="s">
        <v>457</v>
      </c>
    </row>
    <row r="5" spans="1:8" ht="25.5">
      <c r="A5" s="8" t="s">
        <v>458</v>
      </c>
      <c r="B5" s="8" t="s">
        <v>117</v>
      </c>
      <c r="C5" s="8" t="s">
        <v>459</v>
      </c>
      <c r="D5" s="8" t="s">
        <v>442</v>
      </c>
      <c r="E5" s="8" t="s">
        <v>460</v>
      </c>
      <c r="F5" s="8" t="s">
        <v>461</v>
      </c>
      <c r="G5" s="8" t="s">
        <v>340</v>
      </c>
      <c r="H5" s="8" t="s">
        <v>462</v>
      </c>
    </row>
    <row r="6" spans="1:8">
      <c r="A6" s="8" t="s">
        <v>463</v>
      </c>
      <c r="B6" s="8" t="s">
        <v>93</v>
      </c>
      <c r="C6" s="8" t="s">
        <v>464</v>
      </c>
      <c r="D6" s="8" t="s">
        <v>465</v>
      </c>
      <c r="E6" s="8" t="s">
        <v>466</v>
      </c>
      <c r="F6" s="8" t="s">
        <v>467</v>
      </c>
      <c r="G6" s="8" t="s">
        <v>340</v>
      </c>
      <c r="H6" s="8" t="s">
        <v>468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2" width="12" customWidth="1"/>
    <col min="3" max="5" width="15" customWidth="1"/>
    <col min="6" max="6" width="18" customWidth="1"/>
    <col min="7" max="8" width="12" customWidth="1"/>
    <col min="9" max="9" width="21" customWidth="1"/>
  </cols>
  <sheetData>
    <row r="1" spans="1:9" ht="18">
      <c r="A1" s="5" t="s">
        <v>469</v>
      </c>
    </row>
    <row r="2" spans="1:9">
      <c r="A2" s="6" t="s">
        <v>470</v>
      </c>
    </row>
    <row r="4" spans="1:9">
      <c r="A4" s="7" t="s">
        <v>70</v>
      </c>
      <c r="B4" s="7" t="s">
        <v>190</v>
      </c>
      <c r="C4" s="7" t="s">
        <v>471</v>
      </c>
      <c r="D4" s="7" t="s">
        <v>472</v>
      </c>
      <c r="E4" s="7" t="s">
        <v>473</v>
      </c>
      <c r="F4" s="7" t="s">
        <v>474</v>
      </c>
      <c r="G4" s="7" t="s">
        <v>475</v>
      </c>
      <c r="H4" s="7" t="s">
        <v>476</v>
      </c>
      <c r="I4" s="7" t="s">
        <v>80</v>
      </c>
    </row>
    <row r="5" spans="1:9">
      <c r="A5" s="8" t="s">
        <v>477</v>
      </c>
      <c r="B5" s="8" t="s">
        <v>178</v>
      </c>
      <c r="C5" s="8" t="s">
        <v>126</v>
      </c>
      <c r="D5" s="8" t="s">
        <v>478</v>
      </c>
      <c r="E5" s="8"/>
      <c r="F5" s="8" t="s">
        <v>479</v>
      </c>
      <c r="G5" s="8"/>
      <c r="H5" s="8"/>
      <c r="I5" s="8" t="s">
        <v>128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2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10" customWidth="1"/>
    <col min="2" max="2" width="18" customWidth="1"/>
    <col min="3" max="3" width="25" customWidth="1"/>
    <col min="4" max="5" width="22" customWidth="1"/>
    <col min="6" max="6" width="35" customWidth="1"/>
  </cols>
  <sheetData>
    <row r="1" spans="1:6" ht="18">
      <c r="A1" s="5" t="s">
        <v>480</v>
      </c>
    </row>
    <row r="2" spans="1:6" ht="22.35" customHeight="1">
      <c r="A2" s="18" t="s">
        <v>481</v>
      </c>
      <c r="B2" s="18"/>
      <c r="C2" s="18"/>
      <c r="D2" s="18"/>
      <c r="E2" s="18"/>
      <c r="F2" s="18"/>
    </row>
    <row r="4" spans="1:6">
      <c r="A4" s="9" t="s">
        <v>131</v>
      </c>
      <c r="B4" s="9" t="s">
        <v>73</v>
      </c>
      <c r="C4" s="9" t="s">
        <v>482</v>
      </c>
      <c r="D4" s="9" t="s">
        <v>483</v>
      </c>
      <c r="E4" s="9" t="s">
        <v>484</v>
      </c>
      <c r="F4" s="9" t="s">
        <v>485</v>
      </c>
    </row>
    <row r="5" spans="1:6">
      <c r="A5" s="10" t="s">
        <v>83</v>
      </c>
      <c r="B5" s="10" t="s">
        <v>486</v>
      </c>
      <c r="C5" s="11">
        <f>SUMIFS(ledger_entries!$H$4:$H$1000,ledger_entries!$F$4:$F$1000,A5)</f>
        <v>40200</v>
      </c>
      <c r="D5" s="11">
        <f>SUMIFS(ledger_entries!$H$4:$H$1000,ledger_entries!$G$4:$G$1000,A5)</f>
        <v>15900</v>
      </c>
      <c r="E5" s="11">
        <f t="shared" ref="E5:E10" si="0">C5-D5</f>
        <v>24300</v>
      </c>
      <c r="F5" s="10" t="str">
        <f t="shared" ref="F5:F10" si="1">IF(E5&gt;0,"is owed "&amp;TEXT(E5,"₹#,##0"),IF(E5&lt;0,"owes "&amp;TEXT(-E5,"₹#,##0"),"square"))</f>
        <v>is owed ₹24,300</v>
      </c>
    </row>
    <row r="6" spans="1:6">
      <c r="A6" s="10" t="s">
        <v>93</v>
      </c>
      <c r="B6" s="10" t="s">
        <v>487</v>
      </c>
      <c r="C6" s="11">
        <f>SUMIFS(ledger_entries!$H$4:$H$1000,ledger_entries!$F$4:$F$1000,A6)</f>
        <v>3600</v>
      </c>
      <c r="D6" s="11">
        <f>SUMIFS(ledger_entries!$H$4:$H$1000,ledger_entries!$G$4:$G$1000,A6)</f>
        <v>5200</v>
      </c>
      <c r="E6" s="11">
        <f t="shared" si="0"/>
        <v>-1600</v>
      </c>
      <c r="F6" s="10" t="str">
        <f t="shared" si="1"/>
        <v>owes ₹1,600</v>
      </c>
    </row>
    <row r="7" spans="1:6">
      <c r="A7" s="10" t="s">
        <v>102</v>
      </c>
      <c r="B7" s="10" t="s">
        <v>488</v>
      </c>
      <c r="C7" s="11">
        <f>SUMIFS(ledger_entries!$H$4:$H$1000,ledger_entries!$F$4:$F$1000,A7)</f>
        <v>15000</v>
      </c>
      <c r="D7" s="11">
        <f>SUMIFS(ledger_entries!$H$4:$H$1000,ledger_entries!$G$4:$G$1000,A7)</f>
        <v>20900</v>
      </c>
      <c r="E7" s="11">
        <f t="shared" si="0"/>
        <v>-5900</v>
      </c>
      <c r="F7" s="10" t="str">
        <f t="shared" si="1"/>
        <v>owes ₹5,900</v>
      </c>
    </row>
    <row r="8" spans="1:6">
      <c r="A8" s="10" t="s">
        <v>109</v>
      </c>
      <c r="B8" s="10" t="s">
        <v>489</v>
      </c>
      <c r="C8" s="11">
        <f>SUMIFS(ledger_entries!$H$4:$H$1000,ledger_entries!$F$4:$F$1000,A8)</f>
        <v>0</v>
      </c>
      <c r="D8" s="11">
        <f>SUMIFS(ledger_entries!$H$4:$H$1000,ledger_entries!$G$4:$G$1000,A8)</f>
        <v>900</v>
      </c>
      <c r="E8" s="11">
        <f t="shared" si="0"/>
        <v>-900</v>
      </c>
      <c r="F8" s="10" t="str">
        <f t="shared" si="1"/>
        <v>owes ₹900</v>
      </c>
    </row>
    <row r="9" spans="1:6">
      <c r="A9" s="10" t="s">
        <v>117</v>
      </c>
      <c r="B9" s="10" t="s">
        <v>490</v>
      </c>
      <c r="C9" s="11">
        <f>SUMIFS(ledger_entries!$H$4:$H$1000,ledger_entries!$F$4:$F$1000,A9)</f>
        <v>0</v>
      </c>
      <c r="D9" s="11">
        <f>SUMIFS(ledger_entries!$H$4:$H$1000,ledger_entries!$G$4:$G$1000,A9)</f>
        <v>15000</v>
      </c>
      <c r="E9" s="11">
        <f t="shared" si="0"/>
        <v>-15000</v>
      </c>
      <c r="F9" s="10" t="str">
        <f t="shared" si="1"/>
        <v>owes ₹15,000</v>
      </c>
    </row>
    <row r="10" spans="1:6">
      <c r="A10" s="10" t="s">
        <v>126</v>
      </c>
      <c r="B10" s="10" t="s">
        <v>127</v>
      </c>
      <c r="C10" s="11">
        <f>SUMIFS(ledger_entries!$H$4:$H$1000,ledger_entries!$F$4:$F$1000,A10)</f>
        <v>0</v>
      </c>
      <c r="D10" s="11">
        <f>SUMIFS(ledger_entries!$H$4:$H$1000,ledger_entries!$G$4:$G$1000,A10)</f>
        <v>900</v>
      </c>
      <c r="E10" s="11">
        <f t="shared" si="0"/>
        <v>-900</v>
      </c>
      <c r="F10" s="10" t="str">
        <f t="shared" si="1"/>
        <v>owes ₹900</v>
      </c>
    </row>
    <row r="12" spans="1:6">
      <c r="B12" s="12" t="s">
        <v>491</v>
      </c>
      <c r="C12" s="13">
        <f>SUM(C5:C10)</f>
        <v>58800</v>
      </c>
      <c r="D12" s="13">
        <f>SUM(D5:D10)</f>
        <v>58800</v>
      </c>
      <c r="E12" s="13">
        <f>SUM(E5:E10)</f>
        <v>0</v>
      </c>
      <c r="F12" s="6" t="s">
        <v>492</v>
      </c>
    </row>
  </sheetData>
  <mergeCells count="1"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30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8" customWidth="1"/>
    <col min="2" max="2" width="35" customWidth="1"/>
    <col min="3" max="3" width="70" customWidth="1"/>
  </cols>
  <sheetData>
    <row r="1" spans="1:3" ht="18">
      <c r="A1" s="5" t="s">
        <v>493</v>
      </c>
    </row>
    <row r="3" spans="1:3">
      <c r="A3" s="14" t="s">
        <v>494</v>
      </c>
      <c r="B3" s="14" t="s">
        <v>495</v>
      </c>
      <c r="C3" s="14" t="s">
        <v>496</v>
      </c>
    </row>
    <row r="4" spans="1:3">
      <c r="A4" s="8" t="s">
        <v>497</v>
      </c>
      <c r="B4" s="8" t="s">
        <v>498</v>
      </c>
      <c r="C4" s="8" t="s">
        <v>499</v>
      </c>
    </row>
    <row r="5" spans="1:3" ht="38.25">
      <c r="A5" s="8" t="s">
        <v>500</v>
      </c>
      <c r="B5" s="8" t="s">
        <v>501</v>
      </c>
      <c r="C5" s="8" t="s">
        <v>502</v>
      </c>
    </row>
    <row r="6" spans="1:3" ht="25.5">
      <c r="A6" s="8" t="s">
        <v>503</v>
      </c>
      <c r="B6" s="8" t="s">
        <v>504</v>
      </c>
      <c r="C6" s="8" t="s">
        <v>505</v>
      </c>
    </row>
    <row r="7" spans="1:3">
      <c r="A7" s="8" t="s">
        <v>506</v>
      </c>
      <c r="B7" s="8" t="s">
        <v>507</v>
      </c>
      <c r="C7" s="8" t="s">
        <v>508</v>
      </c>
    </row>
    <row r="8" spans="1:3" ht="25.5">
      <c r="A8" s="8" t="s">
        <v>509</v>
      </c>
      <c r="B8" s="8" t="s">
        <v>510</v>
      </c>
      <c r="C8" s="8" t="s">
        <v>511</v>
      </c>
    </row>
    <row r="9" spans="1:3" ht="25.5">
      <c r="A9" s="8" t="s">
        <v>512</v>
      </c>
      <c r="B9" s="8" t="s">
        <v>513</v>
      </c>
      <c r="C9" s="8" t="s">
        <v>514</v>
      </c>
    </row>
    <row r="10" spans="1:3">
      <c r="A10" s="8" t="s">
        <v>515</v>
      </c>
      <c r="B10" s="8" t="s">
        <v>516</v>
      </c>
      <c r="C10" s="8" t="s">
        <v>517</v>
      </c>
    </row>
    <row r="11" spans="1:3">
      <c r="A11" s="8" t="s">
        <v>518</v>
      </c>
      <c r="B11" s="8" t="s">
        <v>519</v>
      </c>
      <c r="C11" s="8" t="s">
        <v>520</v>
      </c>
    </row>
    <row r="12" spans="1:3">
      <c r="A12" s="8" t="s">
        <v>521</v>
      </c>
      <c r="B12" s="8" t="s">
        <v>522</v>
      </c>
      <c r="C12" s="8" t="s">
        <v>523</v>
      </c>
    </row>
    <row r="13" spans="1:3" ht="25.5">
      <c r="A13" s="8" t="s">
        <v>524</v>
      </c>
      <c r="B13" s="8" t="s">
        <v>525</v>
      </c>
      <c r="C13" s="8" t="s">
        <v>526</v>
      </c>
    </row>
    <row r="14" spans="1:3" ht="25.5">
      <c r="A14" s="8" t="s">
        <v>527</v>
      </c>
      <c r="B14" s="8" t="s">
        <v>528</v>
      </c>
      <c r="C14" s="8" t="s">
        <v>529</v>
      </c>
    </row>
    <row r="15" spans="1:3">
      <c r="A15" s="8" t="s">
        <v>530</v>
      </c>
      <c r="B15" s="8" t="s">
        <v>531</v>
      </c>
      <c r="C15" s="8" t="s">
        <v>532</v>
      </c>
    </row>
    <row r="16" spans="1:3">
      <c r="A16" s="8" t="s">
        <v>533</v>
      </c>
      <c r="B16" s="8" t="s">
        <v>534</v>
      </c>
      <c r="C16" s="8" t="s">
        <v>535</v>
      </c>
    </row>
    <row r="17" spans="1:3" ht="25.5">
      <c r="A17" s="8" t="s">
        <v>536</v>
      </c>
      <c r="B17" s="8" t="s">
        <v>537</v>
      </c>
      <c r="C17" s="8" t="s">
        <v>538</v>
      </c>
    </row>
    <row r="18" spans="1:3">
      <c r="A18" s="8"/>
      <c r="B18" s="8"/>
      <c r="C18" s="8"/>
    </row>
    <row r="19" spans="1:3" ht="25.5">
      <c r="A19" s="15"/>
      <c r="B19" s="15" t="s">
        <v>539</v>
      </c>
      <c r="C19" s="15"/>
    </row>
    <row r="20" spans="1:3" ht="25.5">
      <c r="A20" s="8" t="s">
        <v>540</v>
      </c>
      <c r="B20" s="8" t="s">
        <v>541</v>
      </c>
      <c r="C20" s="8" t="s">
        <v>542</v>
      </c>
    </row>
    <row r="21" spans="1:3" ht="25.5">
      <c r="A21" s="8" t="s">
        <v>543</v>
      </c>
      <c r="B21" s="8" t="s">
        <v>544</v>
      </c>
      <c r="C21" s="8" t="s">
        <v>545</v>
      </c>
    </row>
    <row r="22" spans="1:3">
      <c r="A22" s="8" t="s">
        <v>546</v>
      </c>
      <c r="B22" s="8" t="s">
        <v>547</v>
      </c>
      <c r="C22" s="8" t="s">
        <v>548</v>
      </c>
    </row>
    <row r="23" spans="1:3">
      <c r="A23" s="8" t="s">
        <v>549</v>
      </c>
      <c r="B23" s="8" t="s">
        <v>550</v>
      </c>
      <c r="C23" s="8" t="s">
        <v>514</v>
      </c>
    </row>
    <row r="24" spans="1:3" ht="25.5">
      <c r="A24" s="8" t="s">
        <v>551</v>
      </c>
      <c r="B24" s="8" t="s">
        <v>552</v>
      </c>
      <c r="C24" s="8" t="s">
        <v>553</v>
      </c>
    </row>
    <row r="25" spans="1:3" ht="25.5">
      <c r="A25" s="8" t="s">
        <v>554</v>
      </c>
      <c r="B25" s="8" t="s">
        <v>555</v>
      </c>
      <c r="C25" s="8" t="s">
        <v>556</v>
      </c>
    </row>
    <row r="26" spans="1:3">
      <c r="A26" s="8" t="s">
        <v>557</v>
      </c>
      <c r="B26" s="8" t="s">
        <v>558</v>
      </c>
      <c r="C26" s="8" t="s">
        <v>559</v>
      </c>
    </row>
    <row r="27" spans="1:3">
      <c r="A27" s="8" t="s">
        <v>560</v>
      </c>
      <c r="B27" s="8" t="s">
        <v>561</v>
      </c>
      <c r="C27" s="8" t="s">
        <v>562</v>
      </c>
    </row>
    <row r="28" spans="1:3" ht="25.5">
      <c r="A28" s="8" t="s">
        <v>563</v>
      </c>
      <c r="B28" s="8" t="s">
        <v>564</v>
      </c>
      <c r="C28" s="8" t="s">
        <v>565</v>
      </c>
    </row>
    <row r="29" spans="1:3">
      <c r="A29" s="8"/>
      <c r="B29" s="8"/>
      <c r="C29" s="8"/>
    </row>
    <row r="30" spans="1:3" ht="38.25">
      <c r="A30" s="16" t="s">
        <v>66</v>
      </c>
      <c r="B30" s="16" t="s">
        <v>566</v>
      </c>
      <c r="C30" s="16" t="s">
        <v>567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README</vt:lpstr>
      <vt:lpstr>users</vt:lpstr>
      <vt:lpstr>devices</vt:lpstr>
      <vt:lpstr>friendships</vt:lpstr>
      <vt:lpstr>groups</vt:lpstr>
      <vt:lpstr>group_members</vt:lpstr>
      <vt:lpstr>categories</vt:lpstr>
      <vt:lpstr>expenses</vt:lpstr>
      <vt:lpstr>expense_payers</vt:lpstr>
      <vt:lpstr>expense_splits</vt:lpstr>
      <vt:lpstr>expense_items</vt:lpstr>
      <vt:lpstr>expense_item_assignments</vt:lpstr>
      <vt:lpstr>ledger_entries</vt:lpstr>
      <vt:lpstr>settlements</vt:lpstr>
      <vt:lpstr>receipts</vt:lpstr>
      <vt:lpstr>chat_messages</vt:lpstr>
      <vt:lpstr>comments</vt:lpstr>
      <vt:lpstr>notifications</vt:lpstr>
      <vt:lpstr>audit_log</vt:lpstr>
      <vt:lpstr>fx_rates</vt:lpstr>
      <vt:lpstr>recurring_expenses</vt:lpstr>
      <vt:lpstr>subscriptions</vt:lpstr>
      <vt:lpstr>ghost_invites</vt:lpstr>
      <vt:lpstr>balance_summary</vt:lpstr>
      <vt:lpstr>workflow_example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Jeevan Jose</cp:lastModifiedBy>
  <cp:revision>0</cp:revision>
  <dcterms:created xsi:type="dcterms:W3CDTF">2026-04-28T18:02:17Z</dcterms:created>
  <dcterms:modified xsi:type="dcterms:W3CDTF">2026-04-28T18:11:51Z</dcterms:modified>
  <dc:language>en-US</dc:language>
</cp:coreProperties>
</file>